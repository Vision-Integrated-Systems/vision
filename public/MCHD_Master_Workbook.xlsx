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📋 Dashboard" sheetId="1" r:id="rId4"/>
    <sheet state="visible" name="Summary Overview" sheetId="2" r:id="rId5"/>
    <sheet state="visible" name="Group 1" sheetId="3" r:id="rId6"/>
    <sheet state="visible" name="Group 2" sheetId="4" r:id="rId7"/>
    <sheet state="visible" name="Group 3" sheetId="5" r:id="rId8"/>
    <sheet state="visible" name="Group 4" sheetId="6" r:id="rId9"/>
    <sheet state="visible" name="All Stations Master" sheetId="7" r:id="rId10"/>
    <sheet state="visible" name="Tower Sites" sheetId="8" r:id="rId11"/>
    <sheet state="visible" name="Controller Inventory" sheetId="9" r:id="rId12"/>
    <sheet state="visible" name="Has 1502 (SSP-D2)" sheetId="10" r:id="rId13"/>
    <sheet state="visible" name="Needs Replacement" sheetId="11" r:id="rId14"/>
    <sheet state="visible" name="Other Types — Review" sheetId="12" r:id="rId15"/>
  </sheets>
  <definedNames>
    <definedName hidden="1" localSheetId="6" name="_xlnm._FilterDatabase">'All Stations Master'!$A$2:$J$31</definedName>
    <definedName hidden="1" localSheetId="8" name="_xlnm._FilterDatabase">'Controller Inventory'!$A$3:$H$43</definedName>
  </definedNames>
  <calcPr/>
  <extLst>
    <ext uri="GoogleSheetsCustomDataVersion2">
      <go:sheetsCustomData xmlns:go="http://customooxmlschemas.google.com/" r:id="rId16" roundtripDataChecksum="lgNmLmW+BUM/qhnklvKgXr+nLvUPiKlMk8eV5blEYIE="/>
    </ext>
  </extLst>
</workbook>
</file>

<file path=xl/sharedStrings.xml><?xml version="1.0" encoding="utf-8"?>
<sst xmlns="http://schemas.openxmlformats.org/spreadsheetml/2006/main" count="1051" uniqueCount="364">
  <si>
    <t>MCHD — Device Upgrade Master Workbook</t>
  </si>
  <si>
    <t>Comprehensive planning reference — Station Groups · Tower Sites · Controller Inventory</t>
  </si>
  <si>
    <t xml:space="preserve">  SECTION 1 — EMS Station Groups (Device Upgrade Planning)</t>
  </si>
  <si>
    <t>Group</t>
  </si>
  <si>
    <t>Stations</t>
  </si>
  <si>
    <t>Area</t>
  </si>
  <si>
    <t>Visit Order</t>
  </si>
  <si>
    <t>Sheet Tab</t>
  </si>
  <si>
    <t>Group 1</t>
  </si>
  <si>
    <t>7 stations</t>
  </si>
  <si>
    <t>North Conroe / Willis</t>
  </si>
  <si>
    <t>St.10→15→11→14→45→16→13</t>
  </si>
  <si>
    <t>Group 2</t>
  </si>
  <si>
    <t>8 stations</t>
  </si>
  <si>
    <t>Woodlands / Spring / Shenandoah</t>
  </si>
  <si>
    <t>St.27→24→23→26→20→25→22→21</t>
  </si>
  <si>
    <t>Group 3</t>
  </si>
  <si>
    <t>East / Porter / Splendora</t>
  </si>
  <si>
    <t>St.12→33→32→35→30→34→31</t>
  </si>
  <si>
    <t>Group 4</t>
  </si>
  <si>
    <t>West / Magnolia / Montgomery</t>
  </si>
  <si>
    <t>St.44→43→47→46→40→41→42</t>
  </si>
  <si>
    <t xml:space="preserve">  SECTION 2 — Tower Sites</t>
  </si>
  <si>
    <t>Tower Name</t>
  </si>
  <si>
    <t>Address</t>
  </si>
  <si>
    <t>Conroe Service Center Tower</t>
  </si>
  <si>
    <t>1400 South Loop 336 W, Conroe</t>
  </si>
  <si>
    <t>Tower Sites</t>
  </si>
  <si>
    <t>East County / Splendora Tower</t>
  </si>
  <si>
    <t>14809 First St, Splendora</t>
  </si>
  <si>
    <t>Thompson Road Tower</t>
  </si>
  <si>
    <t>12370 Thompson Rd, Willis</t>
  </si>
  <si>
    <t>Robinson Rd Tower</t>
  </si>
  <si>
    <t>27906 Robinson Rd, Spring</t>
  </si>
  <si>
    <t>Magnolia Tower</t>
  </si>
  <si>
    <t>14575 FM 1488, Magnolia</t>
  </si>
  <si>
    <t>Grangerland Tower</t>
  </si>
  <si>
    <t>13885 Grangerland Rd, Conroe</t>
  </si>
  <si>
    <t>Conroe Service Tower</t>
  </si>
  <si>
    <t>401 Sgt Ed Holcomb Blvd, Conroe</t>
  </si>
  <si>
    <t xml:space="preserve">  SECTION 3 — Controller Inventory Summary</t>
  </si>
  <si>
    <t>Status</t>
  </si>
  <si>
    <t>Count</t>
  </si>
  <si>
    <t>Notes</t>
  </si>
  <si>
    <t>✅ Has 1502 Board (SSP/D2)</t>
  </si>
  <si>
    <t>20 units</t>
  </si>
  <si>
    <t>No hardware replacement needed</t>
  </si>
  <si>
    <t>🔴 Needs 1502 Replacement (DCtrl)</t>
  </si>
  <si>
    <t>15 units</t>
  </si>
  <si>
    <t>DController → must swap to 1502 board</t>
  </si>
  <si>
    <t>🟡 Other Types — Review Required</t>
  </si>
  <si>
    <t>5 units</t>
  </si>
  <si>
    <t>PIM400-1501 (×4), SSP-LX (×1) — review</t>
  </si>
  <si>
    <t>Total Controllers</t>
  </si>
  <si>
    <t>40 units</t>
  </si>
  <si>
    <t>Across all sites per 8/21/2025 report</t>
  </si>
  <si>
    <t>MCHD EMS — Device Upgrade Schedule by Station Group</t>
  </si>
  <si>
    <t>28 Stations · 4 Groups of 7 · Grouped geographically for efficient routing</t>
  </si>
  <si>
    <t># Stations</t>
  </si>
  <si>
    <t>Area Covered</t>
  </si>
  <si>
    <t>Stations Included</t>
  </si>
  <si>
    <t>Approx. Drive Coverage</t>
  </si>
  <si>
    <t>Suggested Visit Order</t>
  </si>
  <si>
    <t>St. 10, 11, 13, 14, 15, 16, 45</t>
  </si>
  <si>
    <t>~15 mi radius</t>
  </si>
  <si>
    <t>10 → 15 → 11 → 14 → 45 → 16 → 13</t>
  </si>
  <si>
    <t>St. 20, 21, 22, 23, 24, 25, 26, 27</t>
  </si>
  <si>
    <t>~12 mi radius</t>
  </si>
  <si>
    <t>27 → 24 → 23 → 26 → 20 → 25 → 22 → 21</t>
  </si>
  <si>
    <t>St. 12, 30, 31, 32, 33, 34, 35</t>
  </si>
  <si>
    <t>~20 mi radius</t>
  </si>
  <si>
    <t>12 → 33 → 32 → 35 → 30 → 34 → 31</t>
  </si>
  <si>
    <t>St. 40, 41, 42, 43, 44, 46, 47</t>
  </si>
  <si>
    <t>44 → 43 → 47 → 46 → 40 → 41 → 42</t>
  </si>
  <si>
    <t>Tower Start Date:</t>
  </si>
  <si>
    <t>EMS Station Start Date:</t>
  </si>
  <si>
    <t>Tower estimated completion date:</t>
  </si>
  <si>
    <t xml:space="preserve">EMS Station estimated completion date: </t>
  </si>
  <si>
    <t>Group 1 — North Conroe / Willis</t>
  </si>
  <si>
    <t>Suggested Visit Order: St.10 → St.15 → St.11 → St.14 → St.45 → St.16 → St.13</t>
  </si>
  <si>
    <t>Station</t>
  </si>
  <si>
    <t>City</t>
  </si>
  <si>
    <t>ZIP</t>
  </si>
  <si>
    <t>Latitude</t>
  </si>
  <si>
    <t>Longitude</t>
  </si>
  <si>
    <t>Notes / Contacts</t>
  </si>
  <si>
    <t>Device Upgrade Status</t>
  </si>
  <si>
    <t>Date Completed</t>
  </si>
  <si>
    <t>Tech Initials</t>
  </si>
  <si>
    <t>St. 10</t>
  </si>
  <si>
    <t>2920 N Loop 336 E</t>
  </si>
  <si>
    <t>Conroe</t>
  </si>
  <si>
    <t>77305</t>
  </si>
  <si>
    <t>Pending</t>
  </si>
  <si>
    <t>St. 11</t>
  </si>
  <si>
    <t>1300 S Loop 336 W</t>
  </si>
  <si>
    <t>77304</t>
  </si>
  <si>
    <t>St. 13</t>
  </si>
  <si>
    <t>200 S Kennedy</t>
  </si>
  <si>
    <t>Willis</t>
  </si>
  <si>
    <t>77378</t>
  </si>
  <si>
    <t>St. 14</t>
  </si>
  <si>
    <t>1818 League Line Rd</t>
  </si>
  <si>
    <t>Panorama Village</t>
  </si>
  <si>
    <t>St. 15</t>
  </si>
  <si>
    <t>811 W Semands Ave</t>
  </si>
  <si>
    <t>77301</t>
  </si>
  <si>
    <t>St. 16</t>
  </si>
  <si>
    <t>11111 Calvary Rd</t>
  </si>
  <si>
    <t>77318</t>
  </si>
  <si>
    <t>St. 45</t>
  </si>
  <si>
    <t>14344 Hwy 105 W</t>
  </si>
  <si>
    <t>Total: 7 Stations</t>
  </si>
  <si>
    <t>Group 2 — Woodlands / Spring / Shenandoah</t>
  </si>
  <si>
    <t>Suggested Visit Order: St.27 → St.24 → St.23 → St.26 → St.20 → St.25 → St.22 → St.21</t>
  </si>
  <si>
    <t>St. 20</t>
  </si>
  <si>
    <t>250 Harpers Landing Blvd</t>
  </si>
  <si>
    <t>77385</t>
  </si>
  <si>
    <t>St. 21</t>
  </si>
  <si>
    <t>28830 Birnham Woods Dr</t>
  </si>
  <si>
    <t>Spring</t>
  </si>
  <si>
    <t>77386</t>
  </si>
  <si>
    <t>St. 22</t>
  </si>
  <si>
    <t>335 Volunteer Dr</t>
  </si>
  <si>
    <t>77380</t>
  </si>
  <si>
    <t>St. 23</t>
  </si>
  <si>
    <t>9303 Gosling Rd</t>
  </si>
  <si>
    <t>77381</t>
  </si>
  <si>
    <t>St. 24</t>
  </si>
  <si>
    <t>8001 McBeth Way</t>
  </si>
  <si>
    <t>The Woodlands</t>
  </si>
  <si>
    <t>St. 25</t>
  </si>
  <si>
    <t>9951 Grogans Mill Rd</t>
  </si>
  <si>
    <t>St. 26</t>
  </si>
  <si>
    <t>29915 I-45</t>
  </si>
  <si>
    <t>Shenandoah</t>
  </si>
  <si>
    <t>St. 27</t>
  </si>
  <si>
    <t>5918 FM 1488</t>
  </si>
  <si>
    <t>Magnolia</t>
  </si>
  <si>
    <t>77354</t>
  </si>
  <si>
    <t>Total: 8 Stations</t>
  </si>
  <si>
    <t>Group 3 — East / Porter / Splendora</t>
  </si>
  <si>
    <t>Suggested Visit Order: St.12 → St.33 → St.32 → St.35 → St.30 → St.34 → St.31</t>
  </si>
  <si>
    <t>St. 12</t>
  </si>
  <si>
    <t>14421 Hwy 105 E</t>
  </si>
  <si>
    <t>Cut-N-Shoot</t>
  </si>
  <si>
    <t>77306</t>
  </si>
  <si>
    <t>St. 30</t>
  </si>
  <si>
    <t>21084 Loop 494</t>
  </si>
  <si>
    <t>New Caney</t>
  </si>
  <si>
    <t>77357</t>
  </si>
  <si>
    <t>St. 31</t>
  </si>
  <si>
    <t>14809 First St</t>
  </si>
  <si>
    <t>Splendora</t>
  </si>
  <si>
    <t>77372</t>
  </si>
  <si>
    <t>St. 32</t>
  </si>
  <si>
    <t>14596 FM 1314</t>
  </si>
  <si>
    <t>77302</t>
  </si>
  <si>
    <t>St. 33</t>
  </si>
  <si>
    <t>16723 FM 2090</t>
  </si>
  <si>
    <t>St. 34</t>
  </si>
  <si>
    <t>23550 Loop 494</t>
  </si>
  <si>
    <t>Porter</t>
  </si>
  <si>
    <t>77365</t>
  </si>
  <si>
    <t>St. 35</t>
  </si>
  <si>
    <t>20515 FM 1314</t>
  </si>
  <si>
    <t>Group 4 — West / Magnolia / Montgomery</t>
  </si>
  <si>
    <t>Suggested Visit Order: St.44 → St.43 → St.47 → St.46 → St.40 → St.41 → St.42</t>
  </si>
  <si>
    <t>St. 40</t>
  </si>
  <si>
    <t>14575 FM 1488</t>
  </si>
  <si>
    <t>St. 41</t>
  </si>
  <si>
    <t>12527 Patridge Cir</t>
  </si>
  <si>
    <t>Pinehurst</t>
  </si>
  <si>
    <t>77362</t>
  </si>
  <si>
    <t>St. 42</t>
  </si>
  <si>
    <t>26555 Nichols Sawmill Rd</t>
  </si>
  <si>
    <t>77355</t>
  </si>
  <si>
    <t>St. 43</t>
  </si>
  <si>
    <t>18960 Freeport Dr</t>
  </si>
  <si>
    <t>Montgomery</t>
  </si>
  <si>
    <t>77356</t>
  </si>
  <si>
    <t>St. 44</t>
  </si>
  <si>
    <t>18294 FM 1097</t>
  </si>
  <si>
    <t>St. 46</t>
  </si>
  <si>
    <t>2615 Woodforest Pkwy N</t>
  </si>
  <si>
    <t>77316</t>
  </si>
  <si>
    <t>St. 47</t>
  </si>
  <si>
    <t>19530 Keenan Cut-Off Rd</t>
  </si>
  <si>
    <t>MCHD EMS — All 29 Stations Master List</t>
  </si>
  <si>
    <t>Upgrade Status</t>
  </si>
  <si>
    <t>MCHD — Tower Sites (Device Upgrade — Not Mapped)</t>
  </si>
  <si>
    <t>7 Tower sites for device upgrades — visit independently from station groups</t>
  </si>
  <si>
    <t>#</t>
  </si>
  <si>
    <t>1400 South Loop 336 West</t>
  </si>
  <si>
    <t>-Data drop needed for LSP, 1501 to be reused from Service Bldg, install enclosure,install batteries, Program and test</t>
  </si>
  <si>
    <t>-Change carder to KEYPAD, install battery, One grounding lug install, program and test</t>
  </si>
  <si>
    <t>Partial</t>
  </si>
  <si>
    <t>12370 Thompson Rd</t>
  </si>
  <si>
    <t>-Change carder to KEYPAD, install battery, program and test</t>
  </si>
  <si>
    <t>27906 Robinson Rd</t>
  </si>
  <si>
    <t xml:space="preserve">-Change card readers to KEYPADS (Bldg1/2), install batteries (Bldg 1/2), install MP1501 board(Bldg 2), , program and test </t>
  </si>
  <si>
    <t xml:space="preserve">-Change card readers to KEYPADS (Bldg1/2), install batteries (Bldg 1/2), install MP1501 board(Bldg 2), program and test </t>
  </si>
  <si>
    <t>13885 Grangerland Rd</t>
  </si>
  <si>
    <t>-Panel needs power, change card reader to KEYPAD, install batteries, program and test</t>
  </si>
  <si>
    <t>401 Sgt Ed Holcomb Blvd N</t>
  </si>
  <si>
    <t>-Data drop needed for LSP, MR52 needed, install crashdoor/run composite to Pedestrian Gate, Change readers to KEYPADS,install batteries, Program and test</t>
  </si>
  <si>
    <t>Total: 7 Tower Sites</t>
  </si>
  <si>
    <t>MCHD — Controller Inventory &amp; Upgrade Status</t>
  </si>
  <si>
    <t>Source: Controllers | Settings Report  ·  Date: 8/21/2025  ·  SSP/D2 = 1502 board installed  ·  DController = Needs 1502 replacement</t>
  </si>
  <si>
    <t>Phys. Addr</t>
  </si>
  <si>
    <t>Site / Description</t>
  </si>
  <si>
    <t>Controller Type</t>
  </si>
  <si>
    <t>IP Address</t>
  </si>
  <si>
    <t>Firmware</t>
  </si>
  <si>
    <t>Serial Number</t>
  </si>
  <si>
    <t>Action Required</t>
  </si>
  <si>
    <t>SSP/D2</t>
  </si>
  <si>
    <t>10.1.105.65</t>
  </si>
  <si>
    <t>1.291</t>
  </si>
  <si>
    <t>47825</t>
  </si>
  <si>
    <t>Has 1502 — No Action Needed</t>
  </si>
  <si>
    <t>1502 Board (SSP/D2)</t>
  </si>
  <si>
    <t>EMS 10</t>
  </si>
  <si>
    <t>10.1.10.30</t>
  </si>
  <si>
    <t>31843</t>
  </si>
  <si>
    <t>East Tower</t>
  </si>
  <si>
    <t>10.1.179.34</t>
  </si>
  <si>
    <t>1.294</t>
  </si>
  <si>
    <t>1043654</t>
  </si>
  <si>
    <t>EMS 32</t>
  </si>
  <si>
    <t>10.1.32.40</t>
  </si>
  <si>
    <t>21284</t>
  </si>
  <si>
    <t>Admin Radio Shelter</t>
  </si>
  <si>
    <t>10.1.243.200</t>
  </si>
  <si>
    <t>88640</t>
  </si>
  <si>
    <t>EMS 20</t>
  </si>
  <si>
    <t>10.1.20.45</t>
  </si>
  <si>
    <t>1005320</t>
  </si>
  <si>
    <t>Administration 1st Floor</t>
  </si>
  <si>
    <t>10.1.243.100</t>
  </si>
  <si>
    <t>31875</t>
  </si>
  <si>
    <t>Administration 2nd Floor</t>
  </si>
  <si>
    <t>10.1.243.101</t>
  </si>
  <si>
    <t>31876</t>
  </si>
  <si>
    <t>Administration 3rd Floor</t>
  </si>
  <si>
    <t>10.1.243.102</t>
  </si>
  <si>
    <t>31873</t>
  </si>
  <si>
    <t>EMS-11 Service Center</t>
  </si>
  <si>
    <t>10.1.243.103</t>
  </si>
  <si>
    <t>31874</t>
  </si>
  <si>
    <t>EMS 30</t>
  </si>
  <si>
    <t>10.1.30.30</t>
  </si>
  <si>
    <t>1005321</t>
  </si>
  <si>
    <t>EMS 31</t>
  </si>
  <si>
    <t>10.1.31.30</t>
  </si>
  <si>
    <t>32643</t>
  </si>
  <si>
    <t>EMS 40</t>
  </si>
  <si>
    <t>DController</t>
  </si>
  <si>
    <t>10.1.40.25</t>
  </si>
  <si>
    <t>1.188</t>
  </si>
  <si>
    <t>41173</t>
  </si>
  <si>
    <t>NEEDS REPLACEMENT → 1502</t>
  </si>
  <si>
    <t>Replace with 1502</t>
  </si>
  <si>
    <t>EMS 14</t>
  </si>
  <si>
    <t>10.1.14.30</t>
  </si>
  <si>
    <t>68815</t>
  </si>
  <si>
    <t>EMS 45</t>
  </si>
  <si>
    <t>10.1.45.30</t>
  </si>
  <si>
    <t>68822</t>
  </si>
  <si>
    <t>10.1.175.38</t>
  </si>
  <si>
    <t>41159</t>
  </si>
  <si>
    <t>Replace with MP 1502</t>
  </si>
  <si>
    <t>10.1.178.38</t>
  </si>
  <si>
    <t>41172</t>
  </si>
  <si>
    <t>Replace with MP1502</t>
  </si>
  <si>
    <t>10.1.177.38</t>
  </si>
  <si>
    <t>41167</t>
  </si>
  <si>
    <t>EMS 23</t>
  </si>
  <si>
    <t>10.1.23.200</t>
  </si>
  <si>
    <t>104325</t>
  </si>
  <si>
    <t>Controlled Substance Storage</t>
  </si>
  <si>
    <t>PIM400-1501</t>
  </si>
  <si>
    <t>10.1.243.80</t>
  </si>
  <si>
    <t>34852</t>
  </si>
  <si>
    <t>Review — Other Type</t>
  </si>
  <si>
    <t>PIM400-1501 (Review)</t>
  </si>
  <si>
    <t>EMS 43</t>
  </si>
  <si>
    <t>10.1.43.38</t>
  </si>
  <si>
    <t>8841</t>
  </si>
  <si>
    <t>EMS 41.1</t>
  </si>
  <si>
    <t>10.1.41.38</t>
  </si>
  <si>
    <t>62909</t>
  </si>
  <si>
    <t>EMS 41.2</t>
  </si>
  <si>
    <t>10.1.41.39</t>
  </si>
  <si>
    <t>62688</t>
  </si>
  <si>
    <t>EMS 15</t>
  </si>
  <si>
    <t>SSP-LX</t>
  </si>
  <si>
    <t>10.1.15.30</t>
  </si>
  <si>
    <t>1006413</t>
  </si>
  <si>
    <t>SSP-LX (Review)</t>
  </si>
  <si>
    <t>10.1.176.38</t>
  </si>
  <si>
    <t>1028810</t>
  </si>
  <si>
    <t>EMS 27</t>
  </si>
  <si>
    <t>10.1.27.40</t>
  </si>
  <si>
    <t>631</t>
  </si>
  <si>
    <t>Admin 1st Floor PIM 1501 Rm 113</t>
  </si>
  <si>
    <t>10.1.243.55</t>
  </si>
  <si>
    <t>1027727</t>
  </si>
  <si>
    <t>Magnolia Tower B2</t>
  </si>
  <si>
    <t>10.1.40.37</t>
  </si>
  <si>
    <t>1.143</t>
  </si>
  <si>
    <t>41271</t>
  </si>
  <si>
    <t>EMS 21</t>
  </si>
  <si>
    <t>10.1.21.200</t>
  </si>
  <si>
    <t>57200</t>
  </si>
  <si>
    <t>EMS 22</t>
  </si>
  <si>
    <t>10.1.22.200</t>
  </si>
  <si>
    <t>57201</t>
  </si>
  <si>
    <t>EMS 12</t>
  </si>
  <si>
    <t>10.1.12.200</t>
  </si>
  <si>
    <t>84900</t>
  </si>
  <si>
    <t>EMS 34</t>
  </si>
  <si>
    <t>10.1.34.200</t>
  </si>
  <si>
    <t>87648</t>
  </si>
  <si>
    <t>EMS 42 Medical Supply Closet</t>
  </si>
  <si>
    <t>10.1.42.200</t>
  </si>
  <si>
    <t>1.300</t>
  </si>
  <si>
    <t>104478</t>
  </si>
  <si>
    <t>Service Center Radio Office</t>
  </si>
  <si>
    <t>10.1.243.202</t>
  </si>
  <si>
    <t>110213</t>
  </si>
  <si>
    <t>EMS 25</t>
  </si>
  <si>
    <t>10.1.25.200</t>
  </si>
  <si>
    <t>104343</t>
  </si>
  <si>
    <t>EMS 13</t>
  </si>
  <si>
    <t>10.1.13.200</t>
  </si>
  <si>
    <t>1.302</t>
  </si>
  <si>
    <t>112446</t>
  </si>
  <si>
    <t>EMS 33</t>
  </si>
  <si>
    <t>10.1.33.200</t>
  </si>
  <si>
    <t>1.304</t>
  </si>
  <si>
    <t>127017</t>
  </si>
  <si>
    <t>ZZTesting 1502</t>
  </si>
  <si>
    <t>1.1.1.1</t>
  </si>
  <si>
    <t>0.0</t>
  </si>
  <si>
    <t>0</t>
  </si>
  <si>
    <t>EMS 20 Supervisor Office</t>
  </si>
  <si>
    <t>10.1.20.112</t>
  </si>
  <si>
    <t>1.305</t>
  </si>
  <si>
    <t>205108</t>
  </si>
  <si>
    <t>EMS Station 41 Medical Supply RM</t>
  </si>
  <si>
    <t>10.1.41.25</t>
  </si>
  <si>
    <t>2.20</t>
  </si>
  <si>
    <t>807515</t>
  </si>
  <si>
    <t>Controllers with 1502 Board Already Installed  (20 units)</t>
  </si>
  <si>
    <t>SSP/D2 type — 1502 controller board is already installed. No hardware replacement needed.</t>
  </si>
  <si>
    <t>✓ 1502 Installed</t>
  </si>
  <si>
    <t>Controllers Requiring 1502 Replacement  (15 units)</t>
  </si>
  <si>
    <t>DController type must be swapped out for a 1502 controller board</t>
  </si>
  <si>
    <t>Replacement Status</t>
  </si>
  <si>
    <t>Pending Replacement</t>
  </si>
  <si>
    <t>Total: 15 units</t>
  </si>
  <si>
    <t>Other Controller Types — Requires Review  (5 units)</t>
  </si>
  <si>
    <t>PIM400-1501 and SSP-LX types — not classified as SSP/D2 or DController. Review to determine if replacement is needed.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</si>
</sst>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"/>
    <numFmt numFmtId="166" formatCode="0.0000"/>
  </numFmts>
  <fonts count="30">
    <font>
      <sz val="11.0"/>
      <color theme="1"/>
      <name val="Calibri"/>
      <scheme val="minor"/>
    </font>
    <font>
      <b/>
      <sz val="16.0"/>
      <color rgb="FFFFFFFF"/>
      <name val="Arial"/>
    </font>
    <font/>
    <font>
      <i/>
      <sz val="10.0"/>
      <color rgb="FF444444"/>
      <name val="Arial"/>
    </font>
    <font>
      <b/>
      <sz val="11.0"/>
      <color rgb="FFFFFFFF"/>
      <name val="Arial"/>
    </font>
    <font>
      <b/>
      <sz val="10.0"/>
      <color rgb="FFFFFFFF"/>
      <name val="Arial"/>
    </font>
    <font>
      <b/>
      <sz val="10.0"/>
      <color theme="1"/>
      <name val="Arial"/>
    </font>
    <font>
      <sz val="10.0"/>
      <color theme="1"/>
      <name val="Arial"/>
    </font>
    <font>
      <b/>
      <sz val="10.0"/>
      <color rgb="FF4A148C"/>
      <name val="Arial"/>
    </font>
    <font>
      <sz val="10.0"/>
      <color rgb="FF222222"/>
      <name val="Arial"/>
    </font>
    <font>
      <b/>
      <sz val="10.0"/>
      <color rgb="FF2E7D32"/>
      <name val="Arial"/>
    </font>
    <font>
      <b/>
      <sz val="10.0"/>
      <color rgb="FF333333"/>
      <name val="Arial"/>
    </font>
    <font>
      <b/>
      <sz val="10.0"/>
      <color rgb="FFC62828"/>
      <name val="Arial"/>
    </font>
    <font>
      <b/>
      <sz val="10.0"/>
      <color rgb="FFE65100"/>
      <name val="Arial"/>
    </font>
    <font>
      <b/>
      <sz val="10.0"/>
      <color rgb="FF1A237E"/>
      <name val="Arial"/>
    </font>
    <font>
      <b/>
      <sz val="14.0"/>
      <color rgb="FFFFFFFF"/>
      <name val="Arial"/>
    </font>
    <font>
      <i/>
      <sz val="10.0"/>
      <color rgb="FF555555"/>
      <name val="Arial"/>
    </font>
    <font>
      <b/>
      <sz val="10.0"/>
      <color rgb="FFE53935"/>
      <name val="Arial"/>
    </font>
    <font>
      <sz val="10.0"/>
      <color rgb="FF000000"/>
      <name val="Arial"/>
    </font>
    <font>
      <b/>
      <sz val="10.0"/>
      <color rgb="FF1E88E5"/>
      <name val="Arial"/>
    </font>
    <font>
      <b/>
      <sz val="10.0"/>
      <color rgb="FF43A047"/>
      <name val="Arial"/>
    </font>
    <font>
      <b/>
      <sz val="10.0"/>
      <color rgb="FFFB8C00"/>
      <name val="Arial"/>
    </font>
    <font>
      <sz val="11.0"/>
      <color rgb="FF000000"/>
      <name val="Calibri"/>
    </font>
    <font>
      <color theme="1"/>
      <name val="Calibri"/>
      <scheme val="minor"/>
    </font>
    <font>
      <b/>
      <sz val="13.0"/>
      <color rgb="FFFFFFFF"/>
      <name val="Arial"/>
    </font>
    <font>
      <i/>
      <sz val="9.0"/>
      <color rgb="FF555555"/>
      <name val="Arial"/>
    </font>
    <font>
      <b/>
      <sz val="10.0"/>
      <color rgb="FF222222"/>
      <name val="Arial"/>
    </font>
    <font>
      <sz val="10.0"/>
      <color rgb="FF2E7D32"/>
      <name val="Arial"/>
    </font>
    <font>
      <sz val="10.0"/>
      <color rgb="FFC62828"/>
      <name val="Arial"/>
    </font>
    <font>
      <sz val="10.0"/>
      <color rgb="FFE65100"/>
      <name val="Arial"/>
    </font>
  </fonts>
  <fills count="24">
    <fill>
      <patternFill patternType="none"/>
    </fill>
    <fill>
      <patternFill patternType="lightGray"/>
    </fill>
    <fill>
      <patternFill patternType="solid">
        <fgColor rgb="FF0D1B6E"/>
        <bgColor rgb="FF0D1B6E"/>
      </patternFill>
    </fill>
    <fill>
      <patternFill patternType="solid">
        <fgColor rgb="FFE8EAF6"/>
        <bgColor rgb="FFE8EAF6"/>
      </patternFill>
    </fill>
    <fill>
      <patternFill patternType="solid">
        <fgColor rgb="FF1A237E"/>
        <bgColor rgb="FF1A237E"/>
      </patternFill>
    </fill>
    <fill>
      <patternFill patternType="solid">
        <fgColor rgb="FFFFEBEE"/>
        <bgColor rgb="FFFFEBEE"/>
      </patternFill>
    </fill>
    <fill>
      <patternFill patternType="solid">
        <fgColor rgb="FFE3F2FD"/>
        <bgColor rgb="FFE3F2FD"/>
      </patternFill>
    </fill>
    <fill>
      <patternFill patternType="solid">
        <fgColor rgb="FFE8F5E9"/>
        <bgColor rgb="FFE8F5E9"/>
      </patternFill>
    </fill>
    <fill>
      <patternFill patternType="solid">
        <fgColor rgb="FFFFF3E0"/>
        <bgColor rgb="FFFFF3E0"/>
      </patternFill>
    </fill>
    <fill>
      <patternFill patternType="solid">
        <fgColor rgb="FF4A148C"/>
        <bgColor rgb="FF4A148C"/>
      </patternFill>
    </fill>
    <fill>
      <patternFill patternType="solid">
        <fgColor rgb="FFFFFFFF"/>
        <bgColor rgb="FFFFFFFF"/>
      </patternFill>
    </fill>
    <fill>
      <patternFill patternType="solid">
        <fgColor rgb="FFF3E5F5"/>
        <bgColor rgb="FFF3E5F5"/>
      </patternFill>
    </fill>
    <fill>
      <patternFill patternType="solid">
        <fgColor rgb="FF37474F"/>
        <bgColor rgb="FF37474F"/>
      </patternFill>
    </fill>
    <fill>
      <patternFill patternType="solid">
        <fgColor rgb="FFFFF8E1"/>
        <bgColor rgb="FFFFF8E1"/>
      </patternFill>
    </fill>
    <fill>
      <patternFill patternType="solid">
        <fgColor rgb="FFE53935"/>
        <bgColor rgb="FFE53935"/>
      </patternFill>
    </fill>
    <fill>
      <patternFill patternType="solid">
        <fgColor rgb="FF1E88E5"/>
        <bgColor rgb="FF1E88E5"/>
      </patternFill>
    </fill>
    <fill>
      <patternFill patternType="solid">
        <fgColor rgb="FF43A047"/>
        <bgColor rgb="FF43A047"/>
      </patternFill>
    </fill>
    <fill>
      <patternFill patternType="solid">
        <fgColor rgb="FFFB8C00"/>
        <bgColor rgb="FFFB8C00"/>
      </patternFill>
    </fill>
    <fill>
      <patternFill patternType="solid">
        <fgColor rgb="FFEDE7F6"/>
        <bgColor rgb="FFEDE7F6"/>
      </patternFill>
    </fill>
    <fill>
      <patternFill patternType="solid">
        <fgColor rgb="FF1B5E20"/>
        <bgColor rgb="FF1B5E20"/>
      </patternFill>
    </fill>
    <fill>
      <patternFill patternType="solid">
        <fgColor rgb="FFF1F8E9"/>
        <bgColor rgb="FFF1F8E9"/>
      </patternFill>
    </fill>
    <fill>
      <patternFill patternType="solid">
        <fgColor rgb="FFB71C1C"/>
        <bgColor rgb="FFB71C1C"/>
      </patternFill>
    </fill>
    <fill>
      <patternFill patternType="solid">
        <fgColor rgb="FFFFF5F5"/>
        <bgColor rgb="FFFFF5F5"/>
      </patternFill>
    </fill>
    <fill>
      <patternFill patternType="solid">
        <fgColor rgb="FFE65100"/>
        <bgColor rgb="FFE65100"/>
      </patternFill>
    </fill>
  </fills>
  <borders count="12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/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  <border>
      <left style="thin">
        <color rgb="FFBBBBBB"/>
      </left>
      <top style="thin">
        <color rgb="FFBBBBBB"/>
      </top>
      <bottom style="thin">
        <color rgb="FFBBBBBB"/>
      </bottom>
    </border>
    <border>
      <right/>
      <top style="thin">
        <color rgb="FFBBBBBB"/>
      </top>
      <bottom style="thin">
        <color rgb="FFBBBBBB"/>
      </bottom>
    </border>
    <border>
      <top style="thin">
        <color rgb="FFBBBBBB"/>
      </top>
      <bottom style="thin">
        <color rgb="FFBBBBBB"/>
      </bottom>
    </border>
  </borders>
  <cellStyleXfs count="1">
    <xf borderId="0" fillId="0" fontId="0" numFmtId="0" applyAlignment="1" applyFont="1"/>
  </cellStyleXfs>
  <cellXfs count="1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vertical="center"/>
    </xf>
    <xf borderId="4" fillId="4" fontId="4" numFmtId="0" xfId="0" applyAlignment="1" applyBorder="1" applyFill="1" applyFont="1">
      <alignment horizontal="left" vertical="center"/>
    </xf>
    <xf borderId="5" fillId="0" fontId="2" numFmtId="0" xfId="0" applyBorder="1" applyFont="1"/>
    <xf borderId="6" fillId="0" fontId="2" numFmtId="0" xfId="0" applyBorder="1" applyFont="1"/>
    <xf borderId="7" fillId="4" fontId="5" numFmtId="0" xfId="0" applyAlignment="1" applyBorder="1" applyFont="1">
      <alignment horizontal="center" vertical="center"/>
    </xf>
    <xf borderId="7" fillId="5" fontId="6" numFmtId="0" xfId="0" applyAlignment="1" applyBorder="1" applyFill="1" applyFont="1">
      <alignment horizontal="center" vertical="center"/>
    </xf>
    <xf borderId="7" fillId="5" fontId="7" numFmtId="0" xfId="0" applyAlignment="1" applyBorder="1" applyFont="1">
      <alignment horizontal="center" vertical="center"/>
    </xf>
    <xf borderId="7" fillId="5" fontId="7" numFmtId="0" xfId="0" applyAlignment="1" applyBorder="1" applyFont="1">
      <alignment horizontal="left" vertical="center"/>
    </xf>
    <xf borderId="7" fillId="6" fontId="6" numFmtId="0" xfId="0" applyAlignment="1" applyBorder="1" applyFill="1" applyFont="1">
      <alignment horizontal="center" vertical="center"/>
    </xf>
    <xf borderId="7" fillId="6" fontId="7" numFmtId="0" xfId="0" applyAlignment="1" applyBorder="1" applyFont="1">
      <alignment horizontal="center" vertical="center"/>
    </xf>
    <xf borderId="7" fillId="6" fontId="7" numFmtId="0" xfId="0" applyAlignment="1" applyBorder="1" applyFont="1">
      <alignment horizontal="left" vertical="center"/>
    </xf>
    <xf borderId="7" fillId="7" fontId="6" numFmtId="0" xfId="0" applyAlignment="1" applyBorder="1" applyFill="1" applyFont="1">
      <alignment horizontal="center" vertical="center"/>
    </xf>
    <xf borderId="7" fillId="7" fontId="7" numFmtId="0" xfId="0" applyAlignment="1" applyBorder="1" applyFont="1">
      <alignment horizontal="center" vertical="center"/>
    </xf>
    <xf borderId="7" fillId="7" fontId="7" numFmtId="0" xfId="0" applyAlignment="1" applyBorder="1" applyFont="1">
      <alignment horizontal="left" vertical="center"/>
    </xf>
    <xf borderId="7" fillId="8" fontId="6" numFmtId="0" xfId="0" applyAlignment="1" applyBorder="1" applyFill="1" applyFont="1">
      <alignment horizontal="center" vertical="center"/>
    </xf>
    <xf borderId="7" fillId="8" fontId="7" numFmtId="0" xfId="0" applyAlignment="1" applyBorder="1" applyFont="1">
      <alignment horizontal="center" vertical="center"/>
    </xf>
    <xf borderId="7" fillId="8" fontId="7" numFmtId="0" xfId="0" applyAlignment="1" applyBorder="1" applyFont="1">
      <alignment horizontal="left" vertical="center"/>
    </xf>
    <xf borderId="4" fillId="9" fontId="4" numFmtId="0" xfId="0" applyAlignment="1" applyBorder="1" applyFill="1" applyFont="1">
      <alignment horizontal="left" vertical="center"/>
    </xf>
    <xf borderId="7" fillId="9" fontId="5" numFmtId="0" xfId="0" applyAlignment="1" applyBorder="1" applyFont="1">
      <alignment horizontal="center" vertical="center"/>
    </xf>
    <xf borderId="7" fillId="10" fontId="8" numFmtId="0" xfId="0" applyAlignment="1" applyBorder="1" applyFill="1" applyFont="1">
      <alignment horizontal="left" vertical="center"/>
    </xf>
    <xf borderId="7" fillId="10" fontId="9" numFmtId="0" xfId="0" applyAlignment="1" applyBorder="1" applyFont="1">
      <alignment horizontal="left" vertical="center"/>
    </xf>
    <xf borderId="7" fillId="10" fontId="9" numFmtId="0" xfId="0" applyAlignment="1" applyBorder="1" applyFont="1">
      <alignment horizontal="center" vertical="center"/>
    </xf>
    <xf borderId="7" fillId="11" fontId="8" numFmtId="0" xfId="0" applyAlignment="1" applyBorder="1" applyFill="1" applyFont="1">
      <alignment horizontal="left" vertical="center"/>
    </xf>
    <xf borderId="7" fillId="11" fontId="9" numFmtId="0" xfId="0" applyAlignment="1" applyBorder="1" applyFont="1">
      <alignment horizontal="left" vertical="center"/>
    </xf>
    <xf borderId="7" fillId="11" fontId="9" numFmtId="0" xfId="0" applyAlignment="1" applyBorder="1" applyFont="1">
      <alignment horizontal="center" vertical="center"/>
    </xf>
    <xf borderId="4" fillId="12" fontId="4" numFmtId="0" xfId="0" applyAlignment="1" applyBorder="1" applyFill="1" applyFont="1">
      <alignment horizontal="left" vertical="center"/>
    </xf>
    <xf borderId="7" fillId="7" fontId="10" numFmtId="0" xfId="0" applyAlignment="1" applyBorder="1" applyFont="1">
      <alignment horizontal="left" vertical="center"/>
    </xf>
    <xf borderId="7" fillId="7" fontId="10" numFmtId="0" xfId="0" applyAlignment="1" applyBorder="1" applyFont="1">
      <alignment horizontal="center" vertical="center"/>
    </xf>
    <xf borderId="7" fillId="7" fontId="11" numFmtId="0" xfId="0" applyAlignment="1" applyBorder="1" applyFont="1">
      <alignment horizontal="left" vertical="center"/>
    </xf>
    <xf borderId="7" fillId="5" fontId="12" numFmtId="0" xfId="0" applyAlignment="1" applyBorder="1" applyFont="1">
      <alignment horizontal="left" vertical="center"/>
    </xf>
    <xf borderId="7" fillId="5" fontId="12" numFmtId="0" xfId="0" applyAlignment="1" applyBorder="1" applyFont="1">
      <alignment horizontal="center" vertical="center"/>
    </xf>
    <xf borderId="7" fillId="5" fontId="11" numFmtId="0" xfId="0" applyAlignment="1" applyBorder="1" applyFont="1">
      <alignment horizontal="left" vertical="center"/>
    </xf>
    <xf borderId="7" fillId="13" fontId="13" numFmtId="0" xfId="0" applyAlignment="1" applyBorder="1" applyFill="1" applyFont="1">
      <alignment horizontal="left" vertical="center"/>
    </xf>
    <xf borderId="7" fillId="13" fontId="13" numFmtId="0" xfId="0" applyAlignment="1" applyBorder="1" applyFont="1">
      <alignment horizontal="center" vertical="center"/>
    </xf>
    <xf borderId="7" fillId="13" fontId="11" numFmtId="0" xfId="0" applyAlignment="1" applyBorder="1" applyFont="1">
      <alignment horizontal="left" vertical="center"/>
    </xf>
    <xf borderId="7" fillId="3" fontId="14" numFmtId="0" xfId="0" applyAlignment="1" applyBorder="1" applyFont="1">
      <alignment horizontal="left" vertical="center"/>
    </xf>
    <xf borderId="7" fillId="3" fontId="14" numFmtId="0" xfId="0" applyAlignment="1" applyBorder="1" applyFont="1">
      <alignment horizontal="center" vertical="center"/>
    </xf>
    <xf borderId="7" fillId="3" fontId="11" numFmtId="0" xfId="0" applyAlignment="1" applyBorder="1" applyFont="1">
      <alignment horizontal="left" vertical="center"/>
    </xf>
    <xf borderId="1" fillId="4" fontId="15" numFmtId="0" xfId="0" applyAlignment="1" applyBorder="1" applyFont="1">
      <alignment horizontal="center" vertical="center"/>
    </xf>
    <xf borderId="1" fillId="3" fontId="16" numFmtId="0" xfId="0" applyAlignment="1" applyBorder="1" applyFont="1">
      <alignment horizontal="center" vertical="center"/>
    </xf>
    <xf borderId="8" fillId="4" fontId="4" numFmtId="0" xfId="0" applyAlignment="1" applyBorder="1" applyFont="1">
      <alignment horizontal="center" shrinkToFit="0" vertical="center" wrapText="1"/>
    </xf>
    <xf borderId="8" fillId="5" fontId="17" numFmtId="0" xfId="0" applyAlignment="1" applyBorder="1" applyFont="1">
      <alignment horizontal="center" shrinkToFit="0" vertical="center" wrapText="1"/>
    </xf>
    <xf borderId="8" fillId="5" fontId="18" numFmtId="0" xfId="0" applyAlignment="1" applyBorder="1" applyFont="1">
      <alignment horizontal="center" shrinkToFit="0" vertical="center" wrapText="1"/>
    </xf>
    <xf borderId="8" fillId="5" fontId="18" numFmtId="0" xfId="0" applyAlignment="1" applyBorder="1" applyFont="1">
      <alignment horizontal="left" shrinkToFit="0" vertical="center" wrapText="1"/>
    </xf>
    <xf borderId="8" fillId="6" fontId="19" numFmtId="0" xfId="0" applyAlignment="1" applyBorder="1" applyFont="1">
      <alignment horizontal="center" shrinkToFit="0" vertical="center" wrapText="1"/>
    </xf>
    <xf borderId="8" fillId="6" fontId="18" numFmtId="0" xfId="0" applyAlignment="1" applyBorder="1" applyFont="1">
      <alignment horizontal="center" shrinkToFit="0" vertical="center" wrapText="1"/>
    </xf>
    <xf borderId="8" fillId="6" fontId="18" numFmtId="0" xfId="0" applyAlignment="1" applyBorder="1" applyFont="1">
      <alignment horizontal="left" shrinkToFit="0" vertical="center" wrapText="1"/>
    </xf>
    <xf borderId="8" fillId="7" fontId="20" numFmtId="0" xfId="0" applyAlignment="1" applyBorder="1" applyFont="1">
      <alignment horizontal="center" shrinkToFit="0" vertical="center" wrapText="1"/>
    </xf>
    <xf borderId="8" fillId="7" fontId="18" numFmtId="0" xfId="0" applyAlignment="1" applyBorder="1" applyFont="1">
      <alignment horizontal="center" shrinkToFit="0" vertical="center" wrapText="1"/>
    </xf>
    <xf borderId="8" fillId="7" fontId="18" numFmtId="0" xfId="0" applyAlignment="1" applyBorder="1" applyFont="1">
      <alignment horizontal="left" shrinkToFit="0" vertical="center" wrapText="1"/>
    </xf>
    <xf borderId="8" fillId="8" fontId="21" numFmtId="0" xfId="0" applyAlignment="1" applyBorder="1" applyFont="1">
      <alignment horizontal="center" shrinkToFit="0" vertical="center" wrapText="1"/>
    </xf>
    <xf borderId="8" fillId="8" fontId="18" numFmtId="0" xfId="0" applyAlignment="1" applyBorder="1" applyFont="1">
      <alignment horizontal="center" shrinkToFit="0" vertical="center" wrapText="1"/>
    </xf>
    <xf borderId="8" fillId="8" fontId="18" numFmtId="0" xfId="0" applyAlignment="1" applyBorder="1" applyFont="1">
      <alignment horizontal="left" shrinkToFit="0" vertical="center" wrapText="1"/>
    </xf>
    <xf borderId="0" fillId="0" fontId="22" numFmtId="0" xfId="0" applyAlignment="1" applyFont="1">
      <alignment readingOrder="0" shrinkToFit="0" vertical="bottom" wrapText="0"/>
    </xf>
    <xf borderId="0" fillId="0" fontId="22" numFmtId="164" xfId="0" applyAlignment="1" applyFont="1" applyNumberFormat="1">
      <alignment horizontal="right" readingOrder="0" shrinkToFit="0" vertical="bottom" wrapText="0"/>
    </xf>
    <xf borderId="0" fillId="0" fontId="23" numFmtId="165" xfId="0" applyAlignment="1" applyFont="1" applyNumberFormat="1">
      <alignment readingOrder="0"/>
    </xf>
    <xf borderId="0" fillId="0" fontId="23" numFmtId="0" xfId="0" applyAlignment="1" applyFont="1">
      <alignment readingOrder="0"/>
    </xf>
    <xf borderId="1" fillId="14" fontId="24" numFmtId="0" xfId="0" applyAlignment="1" applyBorder="1" applyFill="1" applyFont="1">
      <alignment horizontal="center" vertical="center"/>
    </xf>
    <xf borderId="1" fillId="5" fontId="3" numFmtId="0" xfId="0" applyAlignment="1" applyBorder="1" applyFont="1">
      <alignment horizontal="center" vertical="center"/>
    </xf>
    <xf borderId="8" fillId="14" fontId="4" numFmtId="0" xfId="0" applyAlignment="1" applyBorder="1" applyFont="1">
      <alignment horizontal="center" shrinkToFit="0" vertical="center" wrapText="1"/>
    </xf>
    <xf borderId="8" fillId="10" fontId="17" numFmtId="0" xfId="0" applyAlignment="1" applyBorder="1" applyFont="1">
      <alignment horizontal="center" vertical="center"/>
    </xf>
    <xf borderId="8" fillId="10" fontId="9" numFmtId="0" xfId="0" applyAlignment="1" applyBorder="1" applyFont="1">
      <alignment horizontal="left" vertical="center"/>
    </xf>
    <xf borderId="8" fillId="10" fontId="9" numFmtId="0" xfId="0" applyAlignment="1" applyBorder="1" applyFont="1">
      <alignment horizontal="center" vertical="center"/>
    </xf>
    <xf borderId="8" fillId="10" fontId="9" numFmtId="166" xfId="0" applyAlignment="1" applyBorder="1" applyFont="1" applyNumberFormat="1">
      <alignment horizontal="center" vertical="center"/>
    </xf>
    <xf borderId="8" fillId="5" fontId="17" numFmtId="0" xfId="0" applyAlignment="1" applyBorder="1" applyFont="1">
      <alignment horizontal="center" vertical="center"/>
    </xf>
    <xf borderId="8" fillId="5" fontId="9" numFmtId="0" xfId="0" applyAlignment="1" applyBorder="1" applyFont="1">
      <alignment horizontal="left" vertical="center"/>
    </xf>
    <xf borderId="8" fillId="5" fontId="9" numFmtId="0" xfId="0" applyAlignment="1" applyBorder="1" applyFont="1">
      <alignment horizontal="center" vertical="center"/>
    </xf>
    <xf borderId="8" fillId="5" fontId="9" numFmtId="166" xfId="0" applyAlignment="1" applyBorder="1" applyFont="1" applyNumberFormat="1">
      <alignment horizontal="center" vertical="center"/>
    </xf>
    <xf borderId="9" fillId="14" fontId="5" numFmtId="0" xfId="0" applyAlignment="1" applyBorder="1" applyFont="1">
      <alignment horizontal="center" vertical="center"/>
    </xf>
    <xf borderId="10" fillId="0" fontId="2" numFmtId="0" xfId="0" applyBorder="1" applyFont="1"/>
    <xf borderId="9" fillId="5" fontId="6" numFmtId="0" xfId="0" applyAlignment="1" applyBorder="1" applyFont="1">
      <alignment horizontal="center"/>
    </xf>
    <xf borderId="11" fillId="0" fontId="2" numFmtId="0" xfId="0" applyBorder="1" applyFont="1"/>
    <xf borderId="1" fillId="15" fontId="24" numFmtId="0" xfId="0" applyAlignment="1" applyBorder="1" applyFill="1" applyFont="1">
      <alignment horizontal="center" vertical="center"/>
    </xf>
    <xf borderId="1" fillId="6" fontId="3" numFmtId="0" xfId="0" applyAlignment="1" applyBorder="1" applyFont="1">
      <alignment horizontal="center" vertical="center"/>
    </xf>
    <xf borderId="8" fillId="15" fontId="4" numFmtId="0" xfId="0" applyAlignment="1" applyBorder="1" applyFont="1">
      <alignment horizontal="center" shrinkToFit="0" vertical="center" wrapText="1"/>
    </xf>
    <xf borderId="8" fillId="10" fontId="19" numFmtId="0" xfId="0" applyAlignment="1" applyBorder="1" applyFont="1">
      <alignment horizontal="center" vertical="center"/>
    </xf>
    <xf borderId="8" fillId="6" fontId="19" numFmtId="0" xfId="0" applyAlignment="1" applyBorder="1" applyFont="1">
      <alignment horizontal="center" vertical="center"/>
    </xf>
    <xf borderId="8" fillId="6" fontId="9" numFmtId="0" xfId="0" applyAlignment="1" applyBorder="1" applyFont="1">
      <alignment horizontal="left" vertical="center"/>
    </xf>
    <xf borderId="8" fillId="6" fontId="9" numFmtId="0" xfId="0" applyAlignment="1" applyBorder="1" applyFont="1">
      <alignment horizontal="center" vertical="center"/>
    </xf>
    <xf borderId="8" fillId="6" fontId="9" numFmtId="166" xfId="0" applyAlignment="1" applyBorder="1" applyFont="1" applyNumberFormat="1">
      <alignment horizontal="center" vertical="center"/>
    </xf>
    <xf borderId="9" fillId="15" fontId="5" numFmtId="0" xfId="0" applyAlignment="1" applyBorder="1" applyFont="1">
      <alignment horizontal="center" vertical="center"/>
    </xf>
    <xf borderId="9" fillId="6" fontId="6" numFmtId="0" xfId="0" applyAlignment="1" applyBorder="1" applyFont="1">
      <alignment horizontal="center"/>
    </xf>
    <xf borderId="1" fillId="16" fontId="24" numFmtId="0" xfId="0" applyAlignment="1" applyBorder="1" applyFill="1" applyFont="1">
      <alignment horizontal="center" vertical="center"/>
    </xf>
    <xf borderId="1" fillId="7" fontId="3" numFmtId="0" xfId="0" applyAlignment="1" applyBorder="1" applyFont="1">
      <alignment horizontal="center" vertical="center"/>
    </xf>
    <xf borderId="8" fillId="16" fontId="4" numFmtId="0" xfId="0" applyAlignment="1" applyBorder="1" applyFont="1">
      <alignment horizontal="center" shrinkToFit="0" vertical="center" wrapText="1"/>
    </xf>
    <xf borderId="8" fillId="10" fontId="20" numFmtId="0" xfId="0" applyAlignment="1" applyBorder="1" applyFont="1">
      <alignment horizontal="center" vertical="center"/>
    </xf>
    <xf borderId="8" fillId="7" fontId="20" numFmtId="0" xfId="0" applyAlignment="1" applyBorder="1" applyFont="1">
      <alignment horizontal="center" vertical="center"/>
    </xf>
    <xf borderId="8" fillId="7" fontId="9" numFmtId="0" xfId="0" applyAlignment="1" applyBorder="1" applyFont="1">
      <alignment horizontal="left" vertical="center"/>
    </xf>
    <xf borderId="8" fillId="7" fontId="9" numFmtId="0" xfId="0" applyAlignment="1" applyBorder="1" applyFont="1">
      <alignment horizontal="center" vertical="center"/>
    </xf>
    <xf borderId="8" fillId="7" fontId="9" numFmtId="166" xfId="0" applyAlignment="1" applyBorder="1" applyFont="1" applyNumberFormat="1">
      <alignment horizontal="center" vertical="center"/>
    </xf>
    <xf borderId="9" fillId="16" fontId="5" numFmtId="0" xfId="0" applyAlignment="1" applyBorder="1" applyFont="1">
      <alignment horizontal="center" vertical="center"/>
    </xf>
    <xf borderId="9" fillId="7" fontId="6" numFmtId="0" xfId="0" applyAlignment="1" applyBorder="1" applyFont="1">
      <alignment horizontal="center"/>
    </xf>
    <xf borderId="1" fillId="17" fontId="24" numFmtId="0" xfId="0" applyAlignment="1" applyBorder="1" applyFill="1" applyFont="1">
      <alignment horizontal="center" vertical="center"/>
    </xf>
    <xf borderId="1" fillId="8" fontId="3" numFmtId="0" xfId="0" applyAlignment="1" applyBorder="1" applyFont="1">
      <alignment horizontal="center" vertical="center"/>
    </xf>
    <xf borderId="8" fillId="17" fontId="4" numFmtId="0" xfId="0" applyAlignment="1" applyBorder="1" applyFont="1">
      <alignment horizontal="center" shrinkToFit="0" vertical="center" wrapText="1"/>
    </xf>
    <xf borderId="8" fillId="10" fontId="21" numFmtId="0" xfId="0" applyAlignment="1" applyBorder="1" applyFont="1">
      <alignment horizontal="center" vertical="center"/>
    </xf>
    <xf borderId="8" fillId="8" fontId="21" numFmtId="0" xfId="0" applyAlignment="1" applyBorder="1" applyFont="1">
      <alignment horizontal="center" vertical="center"/>
    </xf>
    <xf borderId="8" fillId="8" fontId="9" numFmtId="0" xfId="0" applyAlignment="1" applyBorder="1" applyFont="1">
      <alignment horizontal="left" vertical="center"/>
    </xf>
    <xf borderId="8" fillId="8" fontId="9" numFmtId="0" xfId="0" applyAlignment="1" applyBorder="1" applyFont="1">
      <alignment horizontal="center" vertical="center"/>
    </xf>
    <xf borderId="8" fillId="8" fontId="9" numFmtId="166" xfId="0" applyAlignment="1" applyBorder="1" applyFont="1" applyNumberFormat="1">
      <alignment horizontal="center" vertical="center"/>
    </xf>
    <xf borderId="9" fillId="17" fontId="5" numFmtId="0" xfId="0" applyAlignment="1" applyBorder="1" applyFont="1">
      <alignment horizontal="center" vertical="center"/>
    </xf>
    <xf borderId="9" fillId="8" fontId="6" numFmtId="0" xfId="0" applyAlignment="1" applyBorder="1" applyFont="1">
      <alignment horizontal="center"/>
    </xf>
    <xf borderId="1" fillId="4" fontId="24" numFmtId="0" xfId="0" applyAlignment="1" applyBorder="1" applyFont="1">
      <alignment horizontal="center" vertical="center"/>
    </xf>
    <xf borderId="1" fillId="9" fontId="24" numFmtId="0" xfId="0" applyAlignment="1" applyBorder="1" applyFont="1">
      <alignment horizontal="center" vertical="center"/>
    </xf>
    <xf borderId="1" fillId="18" fontId="16" numFmtId="0" xfId="0" applyAlignment="1" applyBorder="1" applyFill="1" applyFont="1">
      <alignment horizontal="center" vertical="center"/>
    </xf>
    <xf borderId="8" fillId="9" fontId="4" numFmtId="0" xfId="0" applyAlignment="1" applyBorder="1" applyFont="1">
      <alignment horizontal="center" shrinkToFit="0" vertical="center" wrapText="1"/>
    </xf>
    <xf borderId="8" fillId="11" fontId="9" numFmtId="0" xfId="0" applyAlignment="1" applyBorder="1" applyFont="1">
      <alignment horizontal="center" vertical="center"/>
    </xf>
    <xf borderId="8" fillId="11" fontId="8" numFmtId="0" xfId="0" applyAlignment="1" applyBorder="1" applyFont="1">
      <alignment horizontal="left" vertical="center"/>
    </xf>
    <xf borderId="8" fillId="11" fontId="9" numFmtId="0" xfId="0" applyAlignment="1" applyBorder="1" applyFont="1">
      <alignment horizontal="left" vertical="center"/>
    </xf>
    <xf borderId="8" fillId="11" fontId="9" numFmtId="0" xfId="0" applyAlignment="1" applyBorder="1" applyFont="1">
      <alignment horizontal="left" readingOrder="0" vertical="center"/>
    </xf>
    <xf borderId="8" fillId="10" fontId="8" numFmtId="0" xfId="0" applyAlignment="1" applyBorder="1" applyFont="1">
      <alignment horizontal="left" vertical="center"/>
    </xf>
    <xf borderId="8" fillId="10" fontId="9" numFmtId="0" xfId="0" applyAlignment="1" applyBorder="1" applyFont="1">
      <alignment horizontal="left" readingOrder="0" vertical="center"/>
    </xf>
    <xf borderId="9" fillId="9" fontId="5" numFmtId="0" xfId="0" applyAlignment="1" applyBorder="1" applyFont="1">
      <alignment horizontal="center" vertical="center"/>
    </xf>
    <xf borderId="9" fillId="18" fontId="6" numFmtId="0" xfId="0" applyAlignment="1" applyBorder="1" applyFont="1">
      <alignment horizontal="center"/>
    </xf>
    <xf borderId="1" fillId="3" fontId="25" numFmtId="0" xfId="0" applyAlignment="1" applyBorder="1" applyFont="1">
      <alignment horizontal="center" vertical="center"/>
    </xf>
    <xf borderId="7" fillId="4" fontId="4" numFmtId="0" xfId="0" applyAlignment="1" applyBorder="1" applyFont="1">
      <alignment horizontal="center" shrinkToFit="0" vertical="center" wrapText="1"/>
    </xf>
    <xf borderId="7" fillId="7" fontId="9" numFmtId="0" xfId="0" applyAlignment="1" applyBorder="1" applyFont="1">
      <alignment horizontal="center" vertical="center"/>
    </xf>
    <xf borderId="7" fillId="7" fontId="26" numFmtId="0" xfId="0" applyAlignment="1" applyBorder="1" applyFont="1">
      <alignment horizontal="left" vertical="center"/>
    </xf>
    <xf borderId="7" fillId="7" fontId="27" numFmtId="0" xfId="0" applyAlignment="1" applyBorder="1" applyFont="1">
      <alignment horizontal="center" vertical="center"/>
    </xf>
    <xf borderId="7" fillId="7" fontId="9" numFmtId="0" xfId="0" applyAlignment="1" applyBorder="1" applyFont="1">
      <alignment horizontal="left" vertical="center"/>
    </xf>
    <xf borderId="7" fillId="5" fontId="9" numFmtId="0" xfId="0" applyAlignment="1" applyBorder="1" applyFont="1">
      <alignment horizontal="center" vertical="center"/>
    </xf>
    <xf borderId="7" fillId="5" fontId="26" numFmtId="0" xfId="0" applyAlignment="1" applyBorder="1" applyFont="1">
      <alignment horizontal="left" vertical="center"/>
    </xf>
    <xf borderId="7" fillId="5" fontId="28" numFmtId="0" xfId="0" applyAlignment="1" applyBorder="1" applyFont="1">
      <alignment horizontal="center" vertical="center"/>
    </xf>
    <xf borderId="7" fillId="5" fontId="9" numFmtId="0" xfId="0" applyAlignment="1" applyBorder="1" applyFont="1">
      <alignment horizontal="left" vertical="center"/>
    </xf>
    <xf borderId="7" fillId="5" fontId="9" numFmtId="0" xfId="0" applyAlignment="1" applyBorder="1" applyFont="1">
      <alignment horizontal="left" readingOrder="0" vertical="center"/>
    </xf>
    <xf borderId="7" fillId="13" fontId="9" numFmtId="0" xfId="0" applyAlignment="1" applyBorder="1" applyFont="1">
      <alignment horizontal="center" vertical="center"/>
    </xf>
    <xf borderId="7" fillId="13" fontId="26" numFmtId="0" xfId="0" applyAlignment="1" applyBorder="1" applyFont="1">
      <alignment horizontal="left" vertical="center"/>
    </xf>
    <xf borderId="7" fillId="13" fontId="29" numFmtId="0" xfId="0" applyAlignment="1" applyBorder="1" applyFont="1">
      <alignment horizontal="center" vertical="center"/>
    </xf>
    <xf borderId="7" fillId="13" fontId="9" numFmtId="0" xfId="0" applyAlignment="1" applyBorder="1" applyFont="1">
      <alignment horizontal="left" vertical="center"/>
    </xf>
    <xf borderId="1" fillId="19" fontId="24" numFmtId="0" xfId="0" applyAlignment="1" applyBorder="1" applyFill="1" applyFont="1">
      <alignment horizontal="center" vertical="center"/>
    </xf>
    <xf borderId="1" fillId="7" fontId="16" numFmtId="0" xfId="0" applyAlignment="1" applyBorder="1" applyFont="1">
      <alignment horizontal="center" vertical="center"/>
    </xf>
    <xf borderId="7" fillId="19" fontId="4" numFmtId="0" xfId="0" applyAlignment="1" applyBorder="1" applyFont="1">
      <alignment horizontal="center" shrinkToFit="0" vertical="center" wrapText="1"/>
    </xf>
    <xf borderId="7" fillId="20" fontId="9" numFmtId="0" xfId="0" applyAlignment="1" applyBorder="1" applyFill="1" applyFont="1">
      <alignment horizontal="center" vertical="center"/>
    </xf>
    <xf borderId="7" fillId="20" fontId="10" numFmtId="0" xfId="0" applyAlignment="1" applyBorder="1" applyFont="1">
      <alignment horizontal="left" vertical="center"/>
    </xf>
    <xf borderId="7" fillId="20" fontId="27" numFmtId="0" xfId="0" applyAlignment="1" applyBorder="1" applyFont="1">
      <alignment horizontal="left" vertical="center"/>
    </xf>
    <xf borderId="7" fillId="10" fontId="10" numFmtId="0" xfId="0" applyAlignment="1" applyBorder="1" applyFont="1">
      <alignment horizontal="left" vertical="center"/>
    </xf>
    <xf borderId="7" fillId="10" fontId="27" numFmtId="0" xfId="0" applyAlignment="1" applyBorder="1" applyFont="1">
      <alignment horizontal="left" vertical="center"/>
    </xf>
    <xf borderId="1" fillId="21" fontId="24" numFmtId="0" xfId="0" applyAlignment="1" applyBorder="1" applyFill="1" applyFont="1">
      <alignment horizontal="center" vertical="center"/>
    </xf>
    <xf borderId="1" fillId="5" fontId="16" numFmtId="0" xfId="0" applyAlignment="1" applyBorder="1" applyFont="1">
      <alignment horizontal="center" vertical="center"/>
    </xf>
    <xf borderId="7" fillId="21" fontId="4" numFmtId="0" xfId="0" applyAlignment="1" applyBorder="1" applyFont="1">
      <alignment horizontal="center" shrinkToFit="0" vertical="center" wrapText="1"/>
    </xf>
    <xf borderId="7" fillId="22" fontId="9" numFmtId="0" xfId="0" applyAlignment="1" applyBorder="1" applyFill="1" applyFont="1">
      <alignment horizontal="center" vertical="center"/>
    </xf>
    <xf borderId="7" fillId="22" fontId="12" numFmtId="0" xfId="0" applyAlignment="1" applyBorder="1" applyFont="1">
      <alignment horizontal="left" vertical="center"/>
    </xf>
    <xf borderId="7" fillId="22" fontId="9" numFmtId="0" xfId="0" applyAlignment="1" applyBorder="1" applyFont="1">
      <alignment horizontal="left" vertical="center"/>
    </xf>
    <xf borderId="7" fillId="10" fontId="12" numFmtId="0" xfId="0" applyAlignment="1" applyBorder="1" applyFont="1">
      <alignment horizontal="left" vertical="center"/>
    </xf>
    <xf borderId="4" fillId="21" fontId="5" numFmtId="0" xfId="0" applyAlignment="1" applyBorder="1" applyFont="1">
      <alignment horizontal="center" vertical="center"/>
    </xf>
    <xf borderId="4" fillId="5" fontId="6" numFmtId="0" xfId="0" applyAlignment="1" applyBorder="1" applyFont="1">
      <alignment horizontal="center"/>
    </xf>
    <xf borderId="1" fillId="23" fontId="24" numFmtId="0" xfId="0" applyAlignment="1" applyBorder="1" applyFill="1" applyFont="1">
      <alignment horizontal="center" vertical="center"/>
    </xf>
    <xf borderId="1" fillId="13" fontId="16" numFmtId="0" xfId="0" applyAlignment="1" applyBorder="1" applyFont="1">
      <alignment horizontal="center" vertical="center"/>
    </xf>
    <xf borderId="7" fillId="23" fontId="4" numFmtId="0" xfId="0" applyAlignment="1" applyBorder="1" applyFont="1">
      <alignment horizontal="center" shrinkToFit="0" vertical="center" wrapText="1"/>
    </xf>
    <xf borderId="7" fillId="10" fontId="13" numFmtId="0" xfId="0" applyAlignment="1" applyBorder="1" applyFont="1">
      <alignment horizontal="left" vertical="center"/>
    </xf>
    <xf borderId="7" fillId="10" fontId="29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D1B6E"/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36.71"/>
    <col customWidth="1" min="3" max="3" width="50.0"/>
    <col customWidth="1" min="4" max="4" width="42.0"/>
    <col customWidth="1" min="5" max="5" width="18.0"/>
    <col customWidth="1" min="6" max="26" width="8.71"/>
  </cols>
  <sheetData>
    <row r="1" ht="36.0" customHeight="1">
      <c r="A1" s="1" t="s">
        <v>0</v>
      </c>
      <c r="B1" s="2"/>
      <c r="C1" s="2"/>
      <c r="D1" s="2"/>
      <c r="E1" s="2"/>
      <c r="F1" s="2"/>
      <c r="G1" s="2"/>
      <c r="H1" s="3"/>
    </row>
    <row r="2" ht="18.0" customHeight="1">
      <c r="A2" s="4" t="s">
        <v>1</v>
      </c>
      <c r="B2" s="2"/>
      <c r="C2" s="2"/>
      <c r="D2" s="2"/>
      <c r="E2" s="2"/>
      <c r="F2" s="2"/>
      <c r="G2" s="2"/>
      <c r="H2" s="3"/>
    </row>
    <row r="4" ht="21.75" customHeight="1">
      <c r="A4" s="5" t="s">
        <v>2</v>
      </c>
      <c r="B4" s="6"/>
      <c r="C4" s="6"/>
      <c r="D4" s="6"/>
      <c r="E4" s="6"/>
      <c r="F4" s="6"/>
      <c r="G4" s="6"/>
      <c r="H4" s="7"/>
    </row>
    <row r="5" ht="19.5" customHeight="1">
      <c r="A5" s="8" t="s">
        <v>3</v>
      </c>
      <c r="B5" s="8" t="s">
        <v>4</v>
      </c>
      <c r="C5" s="8" t="s">
        <v>5</v>
      </c>
      <c r="D5" s="8" t="s">
        <v>6</v>
      </c>
      <c r="E5" s="8" t="s">
        <v>7</v>
      </c>
    </row>
    <row r="6" ht="18.0" customHeight="1">
      <c r="A6" s="9" t="s">
        <v>8</v>
      </c>
      <c r="B6" s="10" t="s">
        <v>9</v>
      </c>
      <c r="C6" s="11" t="s">
        <v>10</v>
      </c>
      <c r="D6" s="11" t="s">
        <v>11</v>
      </c>
      <c r="E6" s="10" t="s">
        <v>8</v>
      </c>
    </row>
    <row r="7" ht="18.0" customHeight="1">
      <c r="A7" s="12" t="s">
        <v>12</v>
      </c>
      <c r="B7" s="13" t="s">
        <v>13</v>
      </c>
      <c r="C7" s="14" t="s">
        <v>14</v>
      </c>
      <c r="D7" s="14" t="s">
        <v>15</v>
      </c>
      <c r="E7" s="13" t="s">
        <v>12</v>
      </c>
    </row>
    <row r="8" ht="18.0" customHeight="1">
      <c r="A8" s="15" t="s">
        <v>16</v>
      </c>
      <c r="B8" s="16" t="s">
        <v>9</v>
      </c>
      <c r="C8" s="17" t="s">
        <v>17</v>
      </c>
      <c r="D8" s="17" t="s">
        <v>18</v>
      </c>
      <c r="E8" s="16" t="s">
        <v>16</v>
      </c>
    </row>
    <row r="9" ht="18.0" customHeight="1">
      <c r="A9" s="18" t="s">
        <v>19</v>
      </c>
      <c r="B9" s="19" t="s">
        <v>9</v>
      </c>
      <c r="C9" s="20" t="s">
        <v>20</v>
      </c>
      <c r="D9" s="20" t="s">
        <v>21</v>
      </c>
      <c r="E9" s="19" t="s">
        <v>19</v>
      </c>
    </row>
    <row r="10" ht="7.5" customHeight="1"/>
    <row r="11" ht="21.75" customHeight="1">
      <c r="A11" s="21" t="s">
        <v>22</v>
      </c>
      <c r="B11" s="6"/>
      <c r="C11" s="6"/>
      <c r="D11" s="6"/>
      <c r="E11" s="6"/>
      <c r="F11" s="6"/>
      <c r="G11" s="6"/>
      <c r="H11" s="7"/>
    </row>
    <row r="12" ht="19.5" customHeight="1">
      <c r="A12" s="22" t="s">
        <v>23</v>
      </c>
      <c r="B12" s="22" t="s">
        <v>24</v>
      </c>
      <c r="C12" s="22" t="s">
        <v>7</v>
      </c>
    </row>
    <row r="13" ht="18.0" customHeight="1">
      <c r="A13" s="23" t="s">
        <v>25</v>
      </c>
      <c r="B13" s="24" t="s">
        <v>26</v>
      </c>
      <c r="C13" s="25" t="s">
        <v>27</v>
      </c>
    </row>
    <row r="14" ht="18.0" customHeight="1">
      <c r="A14" s="26" t="s">
        <v>28</v>
      </c>
      <c r="B14" s="27" t="s">
        <v>29</v>
      </c>
      <c r="C14" s="28" t="s">
        <v>27</v>
      </c>
    </row>
    <row r="15" ht="18.0" customHeight="1">
      <c r="A15" s="23" t="s">
        <v>30</v>
      </c>
      <c r="B15" s="24" t="s">
        <v>31</v>
      </c>
      <c r="C15" s="25" t="s">
        <v>27</v>
      </c>
    </row>
    <row r="16" ht="18.0" customHeight="1">
      <c r="A16" s="26" t="s">
        <v>32</v>
      </c>
      <c r="B16" s="27" t="s">
        <v>33</v>
      </c>
      <c r="C16" s="28" t="s">
        <v>27</v>
      </c>
    </row>
    <row r="17" ht="18.0" customHeight="1">
      <c r="A17" s="23" t="s">
        <v>34</v>
      </c>
      <c r="B17" s="24" t="s">
        <v>35</v>
      </c>
      <c r="C17" s="25" t="s">
        <v>27</v>
      </c>
    </row>
    <row r="18" ht="18.0" customHeight="1">
      <c r="A18" s="26" t="s">
        <v>36</v>
      </c>
      <c r="B18" s="27" t="s">
        <v>37</v>
      </c>
      <c r="C18" s="28" t="s">
        <v>27</v>
      </c>
    </row>
    <row r="19" ht="18.0" customHeight="1">
      <c r="A19" s="23" t="s">
        <v>38</v>
      </c>
      <c r="B19" s="24" t="s">
        <v>39</v>
      </c>
      <c r="C19" s="25" t="s">
        <v>27</v>
      </c>
    </row>
    <row r="20" ht="7.5" customHeight="1"/>
    <row r="21" ht="21.75" customHeight="1">
      <c r="A21" s="29" t="s">
        <v>40</v>
      </c>
      <c r="B21" s="6"/>
      <c r="C21" s="6"/>
      <c r="D21" s="6"/>
      <c r="E21" s="6"/>
      <c r="F21" s="6"/>
      <c r="G21" s="6"/>
      <c r="H21" s="7"/>
    </row>
    <row r="22" ht="19.5" customHeight="1">
      <c r="A22" s="8" t="s">
        <v>41</v>
      </c>
      <c r="B22" s="8" t="s">
        <v>42</v>
      </c>
      <c r="C22" s="8" t="s">
        <v>43</v>
      </c>
    </row>
    <row r="23" ht="19.5" customHeight="1">
      <c r="A23" s="30" t="s">
        <v>44</v>
      </c>
      <c r="B23" s="31" t="s">
        <v>45</v>
      </c>
      <c r="C23" s="32" t="s">
        <v>46</v>
      </c>
    </row>
    <row r="24" ht="19.5" customHeight="1">
      <c r="A24" s="33" t="s">
        <v>47</v>
      </c>
      <c r="B24" s="34" t="s">
        <v>48</v>
      </c>
      <c r="C24" s="35" t="s">
        <v>49</v>
      </c>
    </row>
    <row r="25" ht="19.5" customHeight="1">
      <c r="A25" s="36" t="s">
        <v>50</v>
      </c>
      <c r="B25" s="37" t="s">
        <v>51</v>
      </c>
      <c r="C25" s="38" t="s">
        <v>52</v>
      </c>
    </row>
    <row r="26" ht="19.5" customHeight="1">
      <c r="A26" s="39" t="s">
        <v>53</v>
      </c>
      <c r="B26" s="40" t="s">
        <v>54</v>
      </c>
      <c r="C26" s="41" t="s">
        <v>55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H1"/>
    <mergeCell ref="A2:H2"/>
    <mergeCell ref="A4:H4"/>
    <mergeCell ref="A11:H11"/>
    <mergeCell ref="A21:H2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237E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1.71"/>
    <col customWidth="1" min="2" max="2" width="12.0"/>
    <col customWidth="1" min="3" max="3" width="26.0"/>
    <col customWidth="1" min="4" max="4" width="44.0"/>
    <col customWidth="1" min="5" max="5" width="20.0"/>
    <col customWidth="1" min="6" max="6" width="40.0"/>
    <col customWidth="1" min="7" max="7" width="16.0"/>
    <col customWidth="1" min="8" max="26" width="8.71"/>
  </cols>
  <sheetData>
    <row r="1" ht="30.0" customHeight="1">
      <c r="A1" s="42" t="s">
        <v>56</v>
      </c>
      <c r="B1" s="2"/>
      <c r="C1" s="2"/>
      <c r="D1" s="2"/>
      <c r="E1" s="2"/>
      <c r="F1" s="2"/>
      <c r="G1" s="3"/>
    </row>
    <row r="2" ht="18.0" customHeight="1">
      <c r="A2" s="43" t="s">
        <v>57</v>
      </c>
      <c r="B2" s="2"/>
      <c r="C2" s="2"/>
      <c r="D2" s="2"/>
      <c r="E2" s="2"/>
      <c r="F2" s="2"/>
      <c r="G2" s="3"/>
    </row>
    <row r="3" ht="21.75" customHeight="1">
      <c r="A3" s="44" t="s">
        <v>3</v>
      </c>
      <c r="B3" s="44" t="s">
        <v>58</v>
      </c>
      <c r="C3" s="44" t="s">
        <v>59</v>
      </c>
      <c r="D3" s="44" t="s">
        <v>60</v>
      </c>
      <c r="E3" s="44" t="s">
        <v>61</v>
      </c>
      <c r="F3" s="44" t="s">
        <v>62</v>
      </c>
      <c r="G3" s="44" t="s">
        <v>41</v>
      </c>
    </row>
    <row r="4" ht="24.0" customHeight="1">
      <c r="A4" s="45">
        <v>1.0</v>
      </c>
      <c r="B4" s="46">
        <v>7.0</v>
      </c>
      <c r="C4" s="47" t="s">
        <v>10</v>
      </c>
      <c r="D4" s="47" t="s">
        <v>63</v>
      </c>
      <c r="E4" s="47" t="s">
        <v>64</v>
      </c>
      <c r="F4" s="47" t="s">
        <v>65</v>
      </c>
      <c r="G4" s="47"/>
    </row>
    <row r="5" ht="24.0" customHeight="1">
      <c r="A5" s="48">
        <v>2.0</v>
      </c>
      <c r="B5" s="49">
        <v>8.0</v>
      </c>
      <c r="C5" s="50" t="s">
        <v>14</v>
      </c>
      <c r="D5" s="50" t="s">
        <v>66</v>
      </c>
      <c r="E5" s="50" t="s">
        <v>67</v>
      </c>
      <c r="F5" s="50" t="s">
        <v>68</v>
      </c>
      <c r="G5" s="50"/>
    </row>
    <row r="6" ht="24.0" customHeight="1">
      <c r="A6" s="51">
        <v>3.0</v>
      </c>
      <c r="B6" s="52">
        <v>7.0</v>
      </c>
      <c r="C6" s="53" t="s">
        <v>17</v>
      </c>
      <c r="D6" s="53" t="s">
        <v>69</v>
      </c>
      <c r="E6" s="53" t="s">
        <v>70</v>
      </c>
      <c r="F6" s="53" t="s">
        <v>71</v>
      </c>
      <c r="G6" s="53"/>
    </row>
    <row r="7" ht="24.0" customHeight="1">
      <c r="A7" s="54">
        <v>4.0</v>
      </c>
      <c r="B7" s="55">
        <v>7.0</v>
      </c>
      <c r="C7" s="56" t="s">
        <v>20</v>
      </c>
      <c r="D7" s="56" t="s">
        <v>72</v>
      </c>
      <c r="E7" s="56" t="s">
        <v>70</v>
      </c>
      <c r="F7" s="56" t="s">
        <v>73</v>
      </c>
      <c r="G7" s="56"/>
    </row>
    <row r="9">
      <c r="A9" s="57" t="s">
        <v>74</v>
      </c>
      <c r="B9" s="58">
        <v>46152.0</v>
      </c>
      <c r="D9" s="59"/>
    </row>
    <row r="10">
      <c r="A10" s="57" t="s">
        <v>75</v>
      </c>
      <c r="B10" s="58">
        <v>46152.0</v>
      </c>
      <c r="D10" s="59"/>
    </row>
    <row r="11">
      <c r="A11" s="60" t="s">
        <v>76</v>
      </c>
      <c r="B11" s="59">
        <v>46289.0</v>
      </c>
    </row>
    <row r="12">
      <c r="A12" s="60" t="s">
        <v>77</v>
      </c>
      <c r="B12" s="59">
        <v>46202.0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G2"/>
    <mergeCell ref="A1:G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53935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0"/>
    <col customWidth="1" min="2" max="2" width="30.0"/>
    <col customWidth="1" min="3" max="3" width="20.0"/>
    <col customWidth="1" min="4" max="4" width="8.0"/>
    <col customWidth="1" min="5" max="5" width="12.0"/>
    <col customWidth="1" min="6" max="6" width="13.0"/>
    <col customWidth="1" min="7" max="7" width="32.0"/>
    <col customWidth="1" min="8" max="8" width="22.0"/>
    <col customWidth="1" min="9" max="9" width="16.0"/>
    <col customWidth="1" min="10" max="10" width="14.0"/>
    <col customWidth="1" min="11" max="26" width="8.71"/>
  </cols>
  <sheetData>
    <row r="1" ht="27.75" customHeight="1">
      <c r="A1" s="61" t="s">
        <v>78</v>
      </c>
      <c r="B1" s="2"/>
      <c r="C1" s="2"/>
      <c r="D1" s="2"/>
      <c r="E1" s="2"/>
      <c r="F1" s="2"/>
      <c r="G1" s="2"/>
      <c r="H1" s="2"/>
      <c r="I1" s="2"/>
      <c r="J1" s="3"/>
    </row>
    <row r="2" ht="18.0" customHeight="1">
      <c r="A2" s="62" t="s">
        <v>79</v>
      </c>
      <c r="B2" s="2"/>
      <c r="C2" s="2"/>
      <c r="D2" s="2"/>
      <c r="E2" s="2"/>
      <c r="F2" s="2"/>
      <c r="G2" s="2"/>
      <c r="H2" s="2"/>
      <c r="I2" s="2"/>
      <c r="J2" s="3"/>
    </row>
    <row r="3" ht="21.75" customHeight="1">
      <c r="A3" s="63" t="s">
        <v>80</v>
      </c>
      <c r="B3" s="63" t="s">
        <v>24</v>
      </c>
      <c r="C3" s="63" t="s">
        <v>81</v>
      </c>
      <c r="D3" s="63" t="s">
        <v>82</v>
      </c>
      <c r="E3" s="63" t="s">
        <v>83</v>
      </c>
      <c r="F3" s="63" t="s">
        <v>84</v>
      </c>
      <c r="G3" s="63" t="s">
        <v>85</v>
      </c>
      <c r="H3" s="63" t="s">
        <v>86</v>
      </c>
      <c r="I3" s="63" t="s">
        <v>87</v>
      </c>
      <c r="J3" s="63" t="s">
        <v>88</v>
      </c>
    </row>
    <row r="4" ht="19.5" customHeight="1">
      <c r="A4" s="64" t="s">
        <v>89</v>
      </c>
      <c r="B4" s="65" t="s">
        <v>90</v>
      </c>
      <c r="C4" s="65" t="s">
        <v>91</v>
      </c>
      <c r="D4" s="66" t="s">
        <v>92</v>
      </c>
      <c r="E4" s="67">
        <v>30.3305</v>
      </c>
      <c r="F4" s="67">
        <v>-95.408</v>
      </c>
      <c r="G4" s="65"/>
      <c r="H4" s="65" t="s">
        <v>93</v>
      </c>
      <c r="I4" s="65"/>
      <c r="J4" s="65"/>
    </row>
    <row r="5" ht="19.5" customHeight="1">
      <c r="A5" s="68" t="s">
        <v>94</v>
      </c>
      <c r="B5" s="69" t="s">
        <v>95</v>
      </c>
      <c r="C5" s="69" t="s">
        <v>91</v>
      </c>
      <c r="D5" s="70" t="s">
        <v>96</v>
      </c>
      <c r="E5" s="71">
        <v>30.2841</v>
      </c>
      <c r="F5" s="71">
        <v>-95.4767</v>
      </c>
      <c r="G5" s="69"/>
      <c r="H5" s="69" t="s">
        <v>93</v>
      </c>
      <c r="I5" s="69"/>
      <c r="J5" s="69"/>
    </row>
    <row r="6" ht="19.5" customHeight="1">
      <c r="A6" s="64" t="s">
        <v>97</v>
      </c>
      <c r="B6" s="65" t="s">
        <v>98</v>
      </c>
      <c r="C6" s="65" t="s">
        <v>99</v>
      </c>
      <c r="D6" s="66" t="s">
        <v>100</v>
      </c>
      <c r="E6" s="67">
        <v>30.421</v>
      </c>
      <c r="F6" s="67">
        <v>-95.4861</v>
      </c>
      <c r="G6" s="65"/>
      <c r="H6" s="65" t="s">
        <v>93</v>
      </c>
      <c r="I6" s="65"/>
      <c r="J6" s="65"/>
    </row>
    <row r="7" ht="19.5" customHeight="1">
      <c r="A7" s="68" t="s">
        <v>101</v>
      </c>
      <c r="B7" s="69" t="s">
        <v>102</v>
      </c>
      <c r="C7" s="69" t="s">
        <v>103</v>
      </c>
      <c r="D7" s="70" t="s">
        <v>96</v>
      </c>
      <c r="E7" s="71">
        <v>30.3703</v>
      </c>
      <c r="F7" s="71">
        <v>-95.4984</v>
      </c>
      <c r="G7" s="69"/>
      <c r="H7" s="69" t="s">
        <v>93</v>
      </c>
      <c r="I7" s="69"/>
      <c r="J7" s="69"/>
    </row>
    <row r="8" ht="19.5" customHeight="1">
      <c r="A8" s="64" t="s">
        <v>104</v>
      </c>
      <c r="B8" s="65" t="s">
        <v>105</v>
      </c>
      <c r="C8" s="65" t="s">
        <v>91</v>
      </c>
      <c r="D8" s="66" t="s">
        <v>106</v>
      </c>
      <c r="E8" s="67">
        <v>30.3238</v>
      </c>
      <c r="F8" s="67">
        <v>-95.466</v>
      </c>
      <c r="G8" s="65"/>
      <c r="H8" s="65" t="s">
        <v>93</v>
      </c>
      <c r="I8" s="65"/>
      <c r="J8" s="65"/>
    </row>
    <row r="9" ht="19.5" customHeight="1">
      <c r="A9" s="68" t="s">
        <v>107</v>
      </c>
      <c r="B9" s="69" t="s">
        <v>108</v>
      </c>
      <c r="C9" s="69" t="s">
        <v>99</v>
      </c>
      <c r="D9" s="70" t="s">
        <v>109</v>
      </c>
      <c r="E9" s="71">
        <v>30.4614</v>
      </c>
      <c r="F9" s="71">
        <v>-95.5194</v>
      </c>
      <c r="G9" s="69"/>
      <c r="H9" s="69" t="s">
        <v>93</v>
      </c>
      <c r="I9" s="69"/>
      <c r="J9" s="69"/>
    </row>
    <row r="10" ht="19.5" customHeight="1">
      <c r="A10" s="64" t="s">
        <v>110</v>
      </c>
      <c r="B10" s="65" t="s">
        <v>111</v>
      </c>
      <c r="C10" s="65" t="s">
        <v>91</v>
      </c>
      <c r="D10" s="66" t="s">
        <v>96</v>
      </c>
      <c r="E10" s="67">
        <v>30.353</v>
      </c>
      <c r="F10" s="67">
        <v>-95.5787</v>
      </c>
      <c r="G10" s="65"/>
      <c r="H10" s="65" t="s">
        <v>93</v>
      </c>
      <c r="I10" s="65"/>
      <c r="J10" s="65"/>
    </row>
    <row r="11" ht="15.0" customHeight="1">
      <c r="A11" s="72" t="s">
        <v>112</v>
      </c>
      <c r="B11" s="73"/>
      <c r="C11" s="74" t="str">
        <f>COUNTIF(H4:H10,"Completed")&amp;" of 7 Completed"</f>
        <v>0 of 7 Completed</v>
      </c>
      <c r="D11" s="75"/>
      <c r="E11" s="75"/>
      <c r="F11" s="75"/>
      <c r="G11" s="75"/>
      <c r="H11" s="7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J1"/>
    <mergeCell ref="A2:J2"/>
    <mergeCell ref="A11:B11"/>
    <mergeCell ref="C11:H11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E88E5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0"/>
    <col customWidth="1" min="2" max="2" width="30.0"/>
    <col customWidth="1" min="3" max="3" width="20.0"/>
    <col customWidth="1" min="4" max="4" width="8.0"/>
    <col customWidth="1" min="5" max="5" width="12.0"/>
    <col customWidth="1" min="6" max="6" width="13.0"/>
    <col customWidth="1" min="7" max="7" width="32.0"/>
    <col customWidth="1" min="8" max="8" width="22.0"/>
    <col customWidth="1" min="9" max="9" width="16.0"/>
    <col customWidth="1" min="10" max="10" width="14.0"/>
    <col customWidth="1" min="11" max="26" width="8.71"/>
  </cols>
  <sheetData>
    <row r="1" ht="27.75" customHeight="1">
      <c r="A1" s="76" t="s">
        <v>113</v>
      </c>
      <c r="B1" s="2"/>
      <c r="C1" s="2"/>
      <c r="D1" s="2"/>
      <c r="E1" s="2"/>
      <c r="F1" s="2"/>
      <c r="G1" s="2"/>
      <c r="H1" s="2"/>
      <c r="I1" s="2"/>
      <c r="J1" s="3"/>
    </row>
    <row r="2" ht="18.0" customHeight="1">
      <c r="A2" s="77" t="s">
        <v>114</v>
      </c>
      <c r="B2" s="2"/>
      <c r="C2" s="2"/>
      <c r="D2" s="2"/>
      <c r="E2" s="2"/>
      <c r="F2" s="2"/>
      <c r="G2" s="2"/>
      <c r="H2" s="2"/>
      <c r="I2" s="2"/>
      <c r="J2" s="3"/>
    </row>
    <row r="3" ht="21.75" customHeight="1">
      <c r="A3" s="78" t="s">
        <v>80</v>
      </c>
      <c r="B3" s="78" t="s">
        <v>24</v>
      </c>
      <c r="C3" s="78" t="s">
        <v>81</v>
      </c>
      <c r="D3" s="78" t="s">
        <v>82</v>
      </c>
      <c r="E3" s="78" t="s">
        <v>83</v>
      </c>
      <c r="F3" s="78" t="s">
        <v>84</v>
      </c>
      <c r="G3" s="78" t="s">
        <v>85</v>
      </c>
      <c r="H3" s="78" t="s">
        <v>86</v>
      </c>
      <c r="I3" s="78" t="s">
        <v>87</v>
      </c>
      <c r="J3" s="78" t="s">
        <v>88</v>
      </c>
    </row>
    <row r="4" ht="19.5" customHeight="1">
      <c r="A4" s="79" t="s">
        <v>115</v>
      </c>
      <c r="B4" s="65" t="s">
        <v>116</v>
      </c>
      <c r="C4" s="65" t="s">
        <v>91</v>
      </c>
      <c r="D4" s="66" t="s">
        <v>117</v>
      </c>
      <c r="E4" s="67">
        <v>30.2139</v>
      </c>
      <c r="F4" s="67">
        <v>-95.4531</v>
      </c>
      <c r="G4" s="65"/>
      <c r="H4" s="65" t="s">
        <v>93</v>
      </c>
      <c r="I4" s="65"/>
      <c r="J4" s="65"/>
    </row>
    <row r="5" ht="19.5" customHeight="1">
      <c r="A5" s="80" t="s">
        <v>118</v>
      </c>
      <c r="B5" s="81" t="s">
        <v>119</v>
      </c>
      <c r="C5" s="81" t="s">
        <v>120</v>
      </c>
      <c r="D5" s="82" t="s">
        <v>121</v>
      </c>
      <c r="E5" s="83">
        <v>30.118</v>
      </c>
      <c r="F5" s="83">
        <v>-95.3837</v>
      </c>
      <c r="G5" s="81"/>
      <c r="H5" s="81" t="s">
        <v>93</v>
      </c>
      <c r="I5" s="81"/>
      <c r="J5" s="81"/>
    </row>
    <row r="6" ht="19.5" customHeight="1">
      <c r="A6" s="79" t="s">
        <v>122</v>
      </c>
      <c r="B6" s="65" t="s">
        <v>123</v>
      </c>
      <c r="C6" s="65" t="s">
        <v>120</v>
      </c>
      <c r="D6" s="66" t="s">
        <v>124</v>
      </c>
      <c r="E6" s="67">
        <v>30.1283</v>
      </c>
      <c r="F6" s="67">
        <v>-95.4481</v>
      </c>
      <c r="G6" s="65"/>
      <c r="H6" s="65" t="s">
        <v>93</v>
      </c>
      <c r="I6" s="65"/>
      <c r="J6" s="65"/>
    </row>
    <row r="7" ht="19.5" customHeight="1">
      <c r="A7" s="80" t="s">
        <v>125</v>
      </c>
      <c r="B7" s="81" t="s">
        <v>126</v>
      </c>
      <c r="C7" s="81" t="s">
        <v>120</v>
      </c>
      <c r="D7" s="82" t="s">
        <v>127</v>
      </c>
      <c r="E7" s="83">
        <v>30.183</v>
      </c>
      <c r="F7" s="83">
        <v>-95.4925</v>
      </c>
      <c r="G7" s="81"/>
      <c r="H7" s="81" t="s">
        <v>93</v>
      </c>
      <c r="I7" s="81"/>
      <c r="J7" s="81"/>
    </row>
    <row r="8" ht="19.5" customHeight="1">
      <c r="A8" s="79" t="s">
        <v>128</v>
      </c>
      <c r="B8" s="65" t="s">
        <v>129</v>
      </c>
      <c r="C8" s="65" t="s">
        <v>130</v>
      </c>
      <c r="D8" s="66" t="s">
        <v>127</v>
      </c>
      <c r="E8" s="67">
        <v>30.1813</v>
      </c>
      <c r="F8" s="67">
        <v>-95.5592</v>
      </c>
      <c r="G8" s="65"/>
      <c r="H8" s="65" t="s">
        <v>93</v>
      </c>
      <c r="I8" s="65"/>
      <c r="J8" s="65"/>
    </row>
    <row r="9" ht="19.5" customHeight="1">
      <c r="A9" s="80" t="s">
        <v>131</v>
      </c>
      <c r="B9" s="81" t="s">
        <v>132</v>
      </c>
      <c r="C9" s="81" t="s">
        <v>130</v>
      </c>
      <c r="D9" s="82" t="s">
        <v>124</v>
      </c>
      <c r="E9" s="83">
        <v>30.1613</v>
      </c>
      <c r="F9" s="83">
        <v>-95.4706</v>
      </c>
      <c r="G9" s="81"/>
      <c r="H9" s="81" t="s">
        <v>93</v>
      </c>
      <c r="I9" s="81"/>
      <c r="J9" s="81"/>
    </row>
    <row r="10" ht="19.5" customHeight="1">
      <c r="A10" s="79" t="s">
        <v>133</v>
      </c>
      <c r="B10" s="65" t="s">
        <v>134</v>
      </c>
      <c r="C10" s="65" t="s">
        <v>135</v>
      </c>
      <c r="D10" s="66" t="s">
        <v>127</v>
      </c>
      <c r="E10" s="67">
        <v>30.1794</v>
      </c>
      <c r="F10" s="67">
        <v>-95.4624</v>
      </c>
      <c r="G10" s="65"/>
      <c r="H10" s="65" t="s">
        <v>93</v>
      </c>
      <c r="I10" s="65"/>
      <c r="J10" s="65"/>
    </row>
    <row r="11" ht="19.5" customHeight="1">
      <c r="A11" s="80" t="s">
        <v>136</v>
      </c>
      <c r="B11" s="81" t="s">
        <v>137</v>
      </c>
      <c r="C11" s="81" t="s">
        <v>138</v>
      </c>
      <c r="D11" s="82" t="s">
        <v>139</v>
      </c>
      <c r="E11" s="83">
        <v>30.2247</v>
      </c>
      <c r="F11" s="83">
        <v>-95.5578</v>
      </c>
      <c r="G11" s="81"/>
      <c r="H11" s="81" t="s">
        <v>93</v>
      </c>
      <c r="I11" s="81"/>
      <c r="J11" s="81"/>
    </row>
    <row r="12" ht="15.0" customHeight="1">
      <c r="A12" s="84" t="s">
        <v>140</v>
      </c>
      <c r="B12" s="73"/>
      <c r="C12" s="85" t="str">
        <f>COUNTIF(H4:H11,"Completed")&amp;" of 8 Completed"</f>
        <v>0 of 8 Completed</v>
      </c>
      <c r="D12" s="75"/>
      <c r="E12" s="75"/>
      <c r="F12" s="75"/>
      <c r="G12" s="75"/>
      <c r="H12" s="7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J1"/>
    <mergeCell ref="A2:J2"/>
    <mergeCell ref="A12:B12"/>
    <mergeCell ref="C12:H12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3A047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0"/>
    <col customWidth="1" min="2" max="2" width="30.0"/>
    <col customWidth="1" min="3" max="3" width="20.0"/>
    <col customWidth="1" min="4" max="4" width="8.0"/>
    <col customWidth="1" min="5" max="5" width="12.0"/>
    <col customWidth="1" min="6" max="6" width="13.0"/>
    <col customWidth="1" min="7" max="7" width="32.0"/>
    <col customWidth="1" min="8" max="8" width="22.0"/>
    <col customWidth="1" min="9" max="9" width="16.0"/>
    <col customWidth="1" min="10" max="10" width="14.0"/>
    <col customWidth="1" min="11" max="26" width="8.71"/>
  </cols>
  <sheetData>
    <row r="1" ht="27.75" customHeight="1">
      <c r="A1" s="86" t="s">
        <v>141</v>
      </c>
      <c r="B1" s="2"/>
      <c r="C1" s="2"/>
      <c r="D1" s="2"/>
      <c r="E1" s="2"/>
      <c r="F1" s="2"/>
      <c r="G1" s="2"/>
      <c r="H1" s="2"/>
      <c r="I1" s="2"/>
      <c r="J1" s="3"/>
    </row>
    <row r="2" ht="18.0" customHeight="1">
      <c r="A2" s="87" t="s">
        <v>142</v>
      </c>
      <c r="B2" s="2"/>
      <c r="C2" s="2"/>
      <c r="D2" s="2"/>
      <c r="E2" s="2"/>
      <c r="F2" s="2"/>
      <c r="G2" s="2"/>
      <c r="H2" s="2"/>
      <c r="I2" s="2"/>
      <c r="J2" s="3"/>
    </row>
    <row r="3" ht="21.75" customHeight="1">
      <c r="A3" s="88" t="s">
        <v>80</v>
      </c>
      <c r="B3" s="88" t="s">
        <v>24</v>
      </c>
      <c r="C3" s="88" t="s">
        <v>81</v>
      </c>
      <c r="D3" s="88" t="s">
        <v>82</v>
      </c>
      <c r="E3" s="88" t="s">
        <v>83</v>
      </c>
      <c r="F3" s="88" t="s">
        <v>84</v>
      </c>
      <c r="G3" s="88" t="s">
        <v>85</v>
      </c>
      <c r="H3" s="88" t="s">
        <v>86</v>
      </c>
      <c r="I3" s="88" t="s">
        <v>87</v>
      </c>
      <c r="J3" s="88" t="s">
        <v>88</v>
      </c>
    </row>
    <row r="4" ht="19.5" customHeight="1">
      <c r="A4" s="89" t="s">
        <v>143</v>
      </c>
      <c r="B4" s="65" t="s">
        <v>144</v>
      </c>
      <c r="C4" s="65" t="s">
        <v>145</v>
      </c>
      <c r="D4" s="66" t="s">
        <v>146</v>
      </c>
      <c r="E4" s="67">
        <v>30.3324</v>
      </c>
      <c r="F4" s="67">
        <v>-95.3489</v>
      </c>
      <c r="G4" s="65"/>
      <c r="H4" s="65" t="s">
        <v>93</v>
      </c>
      <c r="I4" s="65"/>
      <c r="J4" s="65"/>
    </row>
    <row r="5" ht="19.5" customHeight="1">
      <c r="A5" s="90" t="s">
        <v>147</v>
      </c>
      <c r="B5" s="91" t="s">
        <v>148</v>
      </c>
      <c r="C5" s="91" t="s">
        <v>149</v>
      </c>
      <c r="D5" s="92" t="s">
        <v>150</v>
      </c>
      <c r="E5" s="93">
        <v>30.1404</v>
      </c>
      <c r="F5" s="93">
        <v>-95.2166</v>
      </c>
      <c r="G5" s="91"/>
      <c r="H5" s="91" t="s">
        <v>93</v>
      </c>
      <c r="I5" s="91"/>
      <c r="J5" s="91"/>
    </row>
    <row r="6" ht="19.5" customHeight="1">
      <c r="A6" s="89" t="s">
        <v>151</v>
      </c>
      <c r="B6" s="65" t="s">
        <v>152</v>
      </c>
      <c r="C6" s="65" t="s">
        <v>153</v>
      </c>
      <c r="D6" s="66" t="s">
        <v>154</v>
      </c>
      <c r="E6" s="67">
        <v>30.2292</v>
      </c>
      <c r="F6" s="67">
        <v>-95.1645</v>
      </c>
      <c r="G6" s="65"/>
      <c r="H6" s="65" t="s">
        <v>93</v>
      </c>
      <c r="I6" s="65"/>
      <c r="J6" s="65"/>
    </row>
    <row r="7" ht="19.5" customHeight="1">
      <c r="A7" s="90" t="s">
        <v>155</v>
      </c>
      <c r="B7" s="91" t="s">
        <v>156</v>
      </c>
      <c r="C7" s="91" t="s">
        <v>91</v>
      </c>
      <c r="D7" s="92" t="s">
        <v>157</v>
      </c>
      <c r="E7" s="93">
        <v>30.2399</v>
      </c>
      <c r="F7" s="93">
        <v>-95.3819</v>
      </c>
      <c r="G7" s="91"/>
      <c r="H7" s="91" t="s">
        <v>93</v>
      </c>
      <c r="I7" s="91"/>
      <c r="J7" s="91"/>
    </row>
    <row r="8" ht="19.5" customHeight="1">
      <c r="A8" s="89" t="s">
        <v>158</v>
      </c>
      <c r="B8" s="65" t="s">
        <v>159</v>
      </c>
      <c r="C8" s="65" t="s">
        <v>91</v>
      </c>
      <c r="D8" s="66" t="s">
        <v>146</v>
      </c>
      <c r="E8" s="67">
        <v>30.2564</v>
      </c>
      <c r="F8" s="67">
        <v>-95.3157</v>
      </c>
      <c r="G8" s="65"/>
      <c r="H8" s="65" t="s">
        <v>93</v>
      </c>
      <c r="I8" s="65"/>
      <c r="J8" s="65"/>
    </row>
    <row r="9" ht="19.5" customHeight="1">
      <c r="A9" s="90" t="s">
        <v>160</v>
      </c>
      <c r="B9" s="91" t="s">
        <v>161</v>
      </c>
      <c r="C9" s="91" t="s">
        <v>162</v>
      </c>
      <c r="D9" s="92" t="s">
        <v>163</v>
      </c>
      <c r="E9" s="93">
        <v>30.1058</v>
      </c>
      <c r="F9" s="93">
        <v>-95.2291</v>
      </c>
      <c r="G9" s="91"/>
      <c r="H9" s="91" t="s">
        <v>93</v>
      </c>
      <c r="I9" s="91"/>
      <c r="J9" s="91"/>
    </row>
    <row r="10" ht="19.5" customHeight="1">
      <c r="A10" s="89" t="s">
        <v>164</v>
      </c>
      <c r="B10" s="65" t="s">
        <v>165</v>
      </c>
      <c r="C10" s="65" t="s">
        <v>162</v>
      </c>
      <c r="D10" s="66" t="s">
        <v>163</v>
      </c>
      <c r="E10" s="67">
        <v>30.1527</v>
      </c>
      <c r="F10" s="67">
        <v>-95.3036</v>
      </c>
      <c r="G10" s="65"/>
      <c r="H10" s="65" t="s">
        <v>93</v>
      </c>
      <c r="I10" s="65"/>
      <c r="J10" s="65"/>
    </row>
    <row r="11" ht="15.0" customHeight="1">
      <c r="A11" s="94" t="s">
        <v>112</v>
      </c>
      <c r="B11" s="73"/>
      <c r="C11" s="95" t="str">
        <f>COUNTIF(H4:H10,"Completed")&amp;" of 7 Completed"</f>
        <v>0 of 7 Completed</v>
      </c>
      <c r="D11" s="75"/>
      <c r="E11" s="75"/>
      <c r="F11" s="75"/>
      <c r="G11" s="75"/>
      <c r="H11" s="7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J1"/>
    <mergeCell ref="A2:J2"/>
    <mergeCell ref="A11:B11"/>
    <mergeCell ref="C11:H11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8C0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0"/>
    <col customWidth="1" min="2" max="2" width="30.0"/>
    <col customWidth="1" min="3" max="3" width="20.0"/>
    <col customWidth="1" min="4" max="4" width="8.0"/>
    <col customWidth="1" min="5" max="5" width="12.0"/>
    <col customWidth="1" min="6" max="6" width="13.0"/>
    <col customWidth="1" min="7" max="7" width="32.0"/>
    <col customWidth="1" min="8" max="8" width="22.0"/>
    <col customWidth="1" min="9" max="9" width="16.0"/>
    <col customWidth="1" min="10" max="10" width="14.0"/>
    <col customWidth="1" min="11" max="26" width="8.71"/>
  </cols>
  <sheetData>
    <row r="1" ht="27.75" customHeight="1">
      <c r="A1" s="96" t="s">
        <v>166</v>
      </c>
      <c r="B1" s="2"/>
      <c r="C1" s="2"/>
      <c r="D1" s="2"/>
      <c r="E1" s="2"/>
      <c r="F1" s="2"/>
      <c r="G1" s="2"/>
      <c r="H1" s="2"/>
      <c r="I1" s="2"/>
      <c r="J1" s="3"/>
    </row>
    <row r="2" ht="18.0" customHeight="1">
      <c r="A2" s="97" t="s">
        <v>167</v>
      </c>
      <c r="B2" s="2"/>
      <c r="C2" s="2"/>
      <c r="D2" s="2"/>
      <c r="E2" s="2"/>
      <c r="F2" s="2"/>
      <c r="G2" s="2"/>
      <c r="H2" s="2"/>
      <c r="I2" s="2"/>
      <c r="J2" s="3"/>
    </row>
    <row r="3" ht="21.75" customHeight="1">
      <c r="A3" s="98" t="s">
        <v>80</v>
      </c>
      <c r="B3" s="98" t="s">
        <v>24</v>
      </c>
      <c r="C3" s="98" t="s">
        <v>81</v>
      </c>
      <c r="D3" s="98" t="s">
        <v>82</v>
      </c>
      <c r="E3" s="98" t="s">
        <v>83</v>
      </c>
      <c r="F3" s="98" t="s">
        <v>84</v>
      </c>
      <c r="G3" s="98" t="s">
        <v>85</v>
      </c>
      <c r="H3" s="98" t="s">
        <v>86</v>
      </c>
      <c r="I3" s="98" t="s">
        <v>87</v>
      </c>
      <c r="J3" s="98" t="s">
        <v>88</v>
      </c>
    </row>
    <row r="4" ht="19.5" customHeight="1">
      <c r="A4" s="99" t="s">
        <v>168</v>
      </c>
      <c r="B4" s="65" t="s">
        <v>169</v>
      </c>
      <c r="C4" s="65" t="s">
        <v>138</v>
      </c>
      <c r="D4" s="66" t="s">
        <v>139</v>
      </c>
      <c r="E4" s="67">
        <v>30.2278</v>
      </c>
      <c r="F4" s="67">
        <v>-95.6934</v>
      </c>
      <c r="G4" s="65"/>
      <c r="H4" s="65" t="s">
        <v>93</v>
      </c>
      <c r="I4" s="65"/>
      <c r="J4" s="65"/>
    </row>
    <row r="5" ht="19.5" customHeight="1">
      <c r="A5" s="100" t="s">
        <v>170</v>
      </c>
      <c r="B5" s="101" t="s">
        <v>171</v>
      </c>
      <c r="C5" s="101" t="s">
        <v>172</v>
      </c>
      <c r="D5" s="102" t="s">
        <v>173</v>
      </c>
      <c r="E5" s="103">
        <v>30.1491</v>
      </c>
      <c r="F5" s="103">
        <v>-95.6624</v>
      </c>
      <c r="G5" s="101"/>
      <c r="H5" s="101" t="s">
        <v>93</v>
      </c>
      <c r="I5" s="101"/>
      <c r="J5" s="101"/>
    </row>
    <row r="6" ht="19.5" customHeight="1">
      <c r="A6" s="99" t="s">
        <v>174</v>
      </c>
      <c r="B6" s="65" t="s">
        <v>175</v>
      </c>
      <c r="C6" s="65" t="s">
        <v>138</v>
      </c>
      <c r="D6" s="66" t="s">
        <v>176</v>
      </c>
      <c r="E6" s="67">
        <v>30.1333</v>
      </c>
      <c r="F6" s="67">
        <v>-95.7534</v>
      </c>
      <c r="G6" s="65"/>
      <c r="H6" s="65" t="s">
        <v>93</v>
      </c>
      <c r="I6" s="65"/>
      <c r="J6" s="65"/>
    </row>
    <row r="7" ht="19.5" customHeight="1">
      <c r="A7" s="100" t="s">
        <v>177</v>
      </c>
      <c r="B7" s="101" t="s">
        <v>178</v>
      </c>
      <c r="C7" s="101" t="s">
        <v>179</v>
      </c>
      <c r="D7" s="102" t="s">
        <v>180</v>
      </c>
      <c r="E7" s="103">
        <v>30.3861</v>
      </c>
      <c r="F7" s="103">
        <v>-95.6619</v>
      </c>
      <c r="G7" s="101"/>
      <c r="H7" s="101" t="s">
        <v>93</v>
      </c>
      <c r="I7" s="101"/>
      <c r="J7" s="101"/>
    </row>
    <row r="8" ht="19.5" customHeight="1">
      <c r="A8" s="99" t="s">
        <v>181</v>
      </c>
      <c r="B8" s="65" t="s">
        <v>182</v>
      </c>
      <c r="C8" s="65" t="s">
        <v>179</v>
      </c>
      <c r="D8" s="66" t="s">
        <v>180</v>
      </c>
      <c r="E8" s="67">
        <v>30.4376</v>
      </c>
      <c r="F8" s="67">
        <v>-95.6367</v>
      </c>
      <c r="G8" s="65"/>
      <c r="H8" s="65" t="s">
        <v>93</v>
      </c>
      <c r="I8" s="65"/>
      <c r="J8" s="65"/>
    </row>
    <row r="9" ht="19.5" customHeight="1">
      <c r="A9" s="100" t="s">
        <v>183</v>
      </c>
      <c r="B9" s="101" t="s">
        <v>184</v>
      </c>
      <c r="C9" s="101" t="s">
        <v>179</v>
      </c>
      <c r="D9" s="102" t="s">
        <v>185</v>
      </c>
      <c r="E9" s="103">
        <v>30.2826</v>
      </c>
      <c r="F9" s="103">
        <v>-95.5674</v>
      </c>
      <c r="G9" s="101"/>
      <c r="H9" s="101" t="s">
        <v>93</v>
      </c>
      <c r="I9" s="101"/>
      <c r="J9" s="101"/>
    </row>
    <row r="10" ht="19.5" customHeight="1">
      <c r="A10" s="99" t="s">
        <v>186</v>
      </c>
      <c r="B10" s="65" t="s">
        <v>187</v>
      </c>
      <c r="C10" s="65" t="s">
        <v>179</v>
      </c>
      <c r="D10" s="66" t="s">
        <v>185</v>
      </c>
      <c r="E10" s="67">
        <v>30.3253</v>
      </c>
      <c r="F10" s="67">
        <v>-95.6678</v>
      </c>
      <c r="G10" s="65"/>
      <c r="H10" s="65" t="s">
        <v>93</v>
      </c>
      <c r="I10" s="65"/>
      <c r="J10" s="65"/>
    </row>
    <row r="11" ht="15.0" customHeight="1">
      <c r="A11" s="104" t="s">
        <v>112</v>
      </c>
      <c r="B11" s="73"/>
      <c r="C11" s="105" t="str">
        <f>COUNTIF(H4:H10,"Completed")&amp;" of 7 Completed"</f>
        <v>0 of 7 Completed</v>
      </c>
      <c r="D11" s="75"/>
      <c r="E11" s="75"/>
      <c r="F11" s="75"/>
      <c r="G11" s="75"/>
      <c r="H11" s="7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J1"/>
    <mergeCell ref="A2:J2"/>
    <mergeCell ref="A11:B11"/>
    <mergeCell ref="C11:H11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46E7A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0.0"/>
    <col customWidth="1" min="2" max="2" width="8.71"/>
    <col customWidth="1" min="3" max="3" width="28.0"/>
    <col customWidth="1" min="4" max="4" width="20.0"/>
    <col customWidth="1" min="5" max="5" width="8.0"/>
    <col customWidth="1" min="6" max="6" width="12.0"/>
    <col customWidth="1" min="7" max="7" width="13.0"/>
    <col customWidth="1" min="8" max="8" width="28.0"/>
    <col customWidth="1" min="9" max="9" width="20.0"/>
    <col customWidth="1" min="10" max="10" width="16.0"/>
    <col customWidth="1" min="11" max="26" width="8.71"/>
  </cols>
  <sheetData>
    <row r="1" ht="27.75" customHeight="1">
      <c r="A1" s="106" t="s">
        <v>188</v>
      </c>
      <c r="B1" s="2"/>
      <c r="C1" s="2"/>
      <c r="D1" s="2"/>
      <c r="E1" s="2"/>
      <c r="F1" s="2"/>
      <c r="G1" s="2"/>
      <c r="H1" s="2"/>
      <c r="I1" s="2"/>
      <c r="J1" s="3"/>
    </row>
    <row r="2" ht="21.75" customHeight="1">
      <c r="A2" s="44" t="s">
        <v>3</v>
      </c>
      <c r="B2" s="44" t="s">
        <v>80</v>
      </c>
      <c r="C2" s="44" t="s">
        <v>24</v>
      </c>
      <c r="D2" s="44" t="s">
        <v>81</v>
      </c>
      <c r="E2" s="44" t="s">
        <v>82</v>
      </c>
      <c r="F2" s="44" t="s">
        <v>83</v>
      </c>
      <c r="G2" s="44" t="s">
        <v>84</v>
      </c>
      <c r="H2" s="44" t="s">
        <v>43</v>
      </c>
      <c r="I2" s="44" t="s">
        <v>189</v>
      </c>
      <c r="J2" s="44" t="s">
        <v>87</v>
      </c>
    </row>
    <row r="3" ht="18.75" customHeight="1">
      <c r="A3" s="64" t="s">
        <v>8</v>
      </c>
      <c r="B3" s="64" t="s">
        <v>89</v>
      </c>
      <c r="C3" s="65" t="s">
        <v>90</v>
      </c>
      <c r="D3" s="65" t="s">
        <v>91</v>
      </c>
      <c r="E3" s="66" t="s">
        <v>92</v>
      </c>
      <c r="F3" s="67">
        <v>30.3305</v>
      </c>
      <c r="G3" s="67">
        <v>-95.408</v>
      </c>
      <c r="H3" s="65"/>
      <c r="I3" s="65" t="s">
        <v>93</v>
      </c>
      <c r="J3" s="65"/>
    </row>
    <row r="4" ht="18.75" customHeight="1">
      <c r="A4" s="68" t="s">
        <v>8</v>
      </c>
      <c r="B4" s="68" t="s">
        <v>94</v>
      </c>
      <c r="C4" s="69" t="s">
        <v>95</v>
      </c>
      <c r="D4" s="69" t="s">
        <v>91</v>
      </c>
      <c r="E4" s="70" t="s">
        <v>96</v>
      </c>
      <c r="F4" s="71">
        <v>30.2841</v>
      </c>
      <c r="G4" s="71">
        <v>-95.4767</v>
      </c>
      <c r="H4" s="69"/>
      <c r="I4" s="69" t="s">
        <v>93</v>
      </c>
      <c r="J4" s="69"/>
    </row>
    <row r="5" ht="18.75" customHeight="1">
      <c r="A5" s="64" t="s">
        <v>8</v>
      </c>
      <c r="B5" s="64" t="s">
        <v>97</v>
      </c>
      <c r="C5" s="65" t="s">
        <v>98</v>
      </c>
      <c r="D5" s="65" t="s">
        <v>99</v>
      </c>
      <c r="E5" s="66" t="s">
        <v>100</v>
      </c>
      <c r="F5" s="67">
        <v>30.421</v>
      </c>
      <c r="G5" s="67">
        <v>-95.4861</v>
      </c>
      <c r="H5" s="65"/>
      <c r="I5" s="65" t="s">
        <v>93</v>
      </c>
      <c r="J5" s="65"/>
    </row>
    <row r="6" ht="18.75" customHeight="1">
      <c r="A6" s="68" t="s">
        <v>8</v>
      </c>
      <c r="B6" s="68" t="s">
        <v>101</v>
      </c>
      <c r="C6" s="69" t="s">
        <v>102</v>
      </c>
      <c r="D6" s="69" t="s">
        <v>103</v>
      </c>
      <c r="E6" s="70" t="s">
        <v>96</v>
      </c>
      <c r="F6" s="71">
        <v>30.3703</v>
      </c>
      <c r="G6" s="71">
        <v>-95.4984</v>
      </c>
      <c r="H6" s="69"/>
      <c r="I6" s="69" t="s">
        <v>93</v>
      </c>
      <c r="J6" s="69"/>
    </row>
    <row r="7" ht="18.75" customHeight="1">
      <c r="A7" s="64" t="s">
        <v>8</v>
      </c>
      <c r="B7" s="64" t="s">
        <v>104</v>
      </c>
      <c r="C7" s="65" t="s">
        <v>105</v>
      </c>
      <c r="D7" s="65" t="s">
        <v>91</v>
      </c>
      <c r="E7" s="66" t="s">
        <v>106</v>
      </c>
      <c r="F7" s="67">
        <v>30.3238</v>
      </c>
      <c r="G7" s="67">
        <v>-95.466</v>
      </c>
      <c r="H7" s="65"/>
      <c r="I7" s="65" t="s">
        <v>93</v>
      </c>
      <c r="J7" s="65"/>
    </row>
    <row r="8" ht="18.75" customHeight="1">
      <c r="A8" s="68" t="s">
        <v>8</v>
      </c>
      <c r="B8" s="68" t="s">
        <v>107</v>
      </c>
      <c r="C8" s="69" t="s">
        <v>108</v>
      </c>
      <c r="D8" s="69" t="s">
        <v>99</v>
      </c>
      <c r="E8" s="70" t="s">
        <v>109</v>
      </c>
      <c r="F8" s="71">
        <v>30.4614</v>
      </c>
      <c r="G8" s="71">
        <v>-95.5194</v>
      </c>
      <c r="H8" s="69"/>
      <c r="I8" s="69" t="s">
        <v>93</v>
      </c>
      <c r="J8" s="69"/>
    </row>
    <row r="9" ht="18.75" customHeight="1">
      <c r="A9" s="64" t="s">
        <v>8</v>
      </c>
      <c r="B9" s="64" t="s">
        <v>110</v>
      </c>
      <c r="C9" s="65" t="s">
        <v>111</v>
      </c>
      <c r="D9" s="65" t="s">
        <v>91</v>
      </c>
      <c r="E9" s="66" t="s">
        <v>96</v>
      </c>
      <c r="F9" s="67">
        <v>30.353</v>
      </c>
      <c r="G9" s="67">
        <v>-95.5787</v>
      </c>
      <c r="H9" s="65"/>
      <c r="I9" s="65" t="s">
        <v>93</v>
      </c>
      <c r="J9" s="65"/>
    </row>
    <row r="10" ht="18.75" customHeight="1">
      <c r="A10" s="80" t="s">
        <v>12</v>
      </c>
      <c r="B10" s="80" t="s">
        <v>115</v>
      </c>
      <c r="C10" s="81" t="s">
        <v>116</v>
      </c>
      <c r="D10" s="81" t="s">
        <v>91</v>
      </c>
      <c r="E10" s="82" t="s">
        <v>117</v>
      </c>
      <c r="F10" s="83">
        <v>30.2139</v>
      </c>
      <c r="G10" s="83">
        <v>-95.4531</v>
      </c>
      <c r="H10" s="81"/>
      <c r="I10" s="81" t="s">
        <v>93</v>
      </c>
      <c r="J10" s="81"/>
    </row>
    <row r="11" ht="18.75" customHeight="1">
      <c r="A11" s="79" t="s">
        <v>12</v>
      </c>
      <c r="B11" s="79" t="s">
        <v>118</v>
      </c>
      <c r="C11" s="65" t="s">
        <v>119</v>
      </c>
      <c r="D11" s="65" t="s">
        <v>120</v>
      </c>
      <c r="E11" s="66" t="s">
        <v>121</v>
      </c>
      <c r="F11" s="67">
        <v>30.118</v>
      </c>
      <c r="G11" s="67">
        <v>-95.3837</v>
      </c>
      <c r="H11" s="65"/>
      <c r="I11" s="65" t="s">
        <v>93</v>
      </c>
      <c r="J11" s="65"/>
    </row>
    <row r="12" ht="18.75" customHeight="1">
      <c r="A12" s="80" t="s">
        <v>12</v>
      </c>
      <c r="B12" s="80" t="s">
        <v>122</v>
      </c>
      <c r="C12" s="81" t="s">
        <v>123</v>
      </c>
      <c r="D12" s="81" t="s">
        <v>120</v>
      </c>
      <c r="E12" s="82" t="s">
        <v>124</v>
      </c>
      <c r="F12" s="83">
        <v>30.1283</v>
      </c>
      <c r="G12" s="83">
        <v>-95.4481</v>
      </c>
      <c r="H12" s="81"/>
      <c r="I12" s="81" t="s">
        <v>93</v>
      </c>
      <c r="J12" s="81"/>
    </row>
    <row r="13" ht="18.75" customHeight="1">
      <c r="A13" s="79" t="s">
        <v>12</v>
      </c>
      <c r="B13" s="79" t="s">
        <v>125</v>
      </c>
      <c r="C13" s="65" t="s">
        <v>126</v>
      </c>
      <c r="D13" s="65" t="s">
        <v>120</v>
      </c>
      <c r="E13" s="66" t="s">
        <v>127</v>
      </c>
      <c r="F13" s="67">
        <v>30.183</v>
      </c>
      <c r="G13" s="67">
        <v>-95.4925</v>
      </c>
      <c r="H13" s="65"/>
      <c r="I13" s="65" t="s">
        <v>93</v>
      </c>
      <c r="J13" s="65"/>
    </row>
    <row r="14" ht="18.75" customHeight="1">
      <c r="A14" s="80" t="s">
        <v>12</v>
      </c>
      <c r="B14" s="80" t="s">
        <v>128</v>
      </c>
      <c r="C14" s="81" t="s">
        <v>129</v>
      </c>
      <c r="D14" s="81" t="s">
        <v>130</v>
      </c>
      <c r="E14" s="82" t="s">
        <v>127</v>
      </c>
      <c r="F14" s="83">
        <v>30.1813</v>
      </c>
      <c r="G14" s="83">
        <v>-95.5592</v>
      </c>
      <c r="H14" s="81"/>
      <c r="I14" s="81" t="s">
        <v>93</v>
      </c>
      <c r="J14" s="81"/>
    </row>
    <row r="15" ht="18.75" customHeight="1">
      <c r="A15" s="79" t="s">
        <v>12</v>
      </c>
      <c r="B15" s="79" t="s">
        <v>131</v>
      </c>
      <c r="C15" s="65" t="s">
        <v>132</v>
      </c>
      <c r="D15" s="65" t="s">
        <v>130</v>
      </c>
      <c r="E15" s="66" t="s">
        <v>124</v>
      </c>
      <c r="F15" s="67">
        <v>30.1613</v>
      </c>
      <c r="G15" s="67">
        <v>-95.4706</v>
      </c>
      <c r="H15" s="65"/>
      <c r="I15" s="65" t="s">
        <v>93</v>
      </c>
      <c r="J15" s="65"/>
    </row>
    <row r="16" ht="18.75" customHeight="1">
      <c r="A16" s="80" t="s">
        <v>12</v>
      </c>
      <c r="B16" s="80" t="s">
        <v>133</v>
      </c>
      <c r="C16" s="81" t="s">
        <v>134</v>
      </c>
      <c r="D16" s="81" t="s">
        <v>135</v>
      </c>
      <c r="E16" s="82" t="s">
        <v>127</v>
      </c>
      <c r="F16" s="83">
        <v>30.1794</v>
      </c>
      <c r="G16" s="83">
        <v>-95.4624</v>
      </c>
      <c r="H16" s="81"/>
      <c r="I16" s="81" t="s">
        <v>93</v>
      </c>
      <c r="J16" s="81"/>
    </row>
    <row r="17" ht="18.75" customHeight="1">
      <c r="A17" s="79" t="s">
        <v>12</v>
      </c>
      <c r="B17" s="79" t="s">
        <v>136</v>
      </c>
      <c r="C17" s="65" t="s">
        <v>137</v>
      </c>
      <c r="D17" s="65" t="s">
        <v>138</v>
      </c>
      <c r="E17" s="66" t="s">
        <v>139</v>
      </c>
      <c r="F17" s="67">
        <v>30.2247</v>
      </c>
      <c r="G17" s="67">
        <v>-95.5578</v>
      </c>
      <c r="H17" s="65"/>
      <c r="I17" s="65" t="s">
        <v>93</v>
      </c>
      <c r="J17" s="65"/>
    </row>
    <row r="18" ht="18.75" customHeight="1">
      <c r="A18" s="90" t="s">
        <v>16</v>
      </c>
      <c r="B18" s="90" t="s">
        <v>143</v>
      </c>
      <c r="C18" s="91" t="s">
        <v>144</v>
      </c>
      <c r="D18" s="91" t="s">
        <v>145</v>
      </c>
      <c r="E18" s="92" t="s">
        <v>146</v>
      </c>
      <c r="F18" s="93">
        <v>30.3324</v>
      </c>
      <c r="G18" s="93">
        <v>-95.3489</v>
      </c>
      <c r="H18" s="91"/>
      <c r="I18" s="91" t="s">
        <v>93</v>
      </c>
      <c r="J18" s="91"/>
    </row>
    <row r="19" ht="18.75" customHeight="1">
      <c r="A19" s="89" t="s">
        <v>16</v>
      </c>
      <c r="B19" s="89" t="s">
        <v>147</v>
      </c>
      <c r="C19" s="65" t="s">
        <v>148</v>
      </c>
      <c r="D19" s="65" t="s">
        <v>149</v>
      </c>
      <c r="E19" s="66" t="s">
        <v>150</v>
      </c>
      <c r="F19" s="67">
        <v>30.1404</v>
      </c>
      <c r="G19" s="67">
        <v>-95.2166</v>
      </c>
      <c r="H19" s="65"/>
      <c r="I19" s="65" t="s">
        <v>93</v>
      </c>
      <c r="J19" s="65"/>
    </row>
    <row r="20" ht="18.75" customHeight="1">
      <c r="A20" s="90" t="s">
        <v>16</v>
      </c>
      <c r="B20" s="90" t="s">
        <v>151</v>
      </c>
      <c r="C20" s="91" t="s">
        <v>152</v>
      </c>
      <c r="D20" s="91" t="s">
        <v>153</v>
      </c>
      <c r="E20" s="92" t="s">
        <v>154</v>
      </c>
      <c r="F20" s="93">
        <v>30.2292</v>
      </c>
      <c r="G20" s="93">
        <v>-95.1645</v>
      </c>
      <c r="H20" s="91"/>
      <c r="I20" s="91" t="s">
        <v>93</v>
      </c>
      <c r="J20" s="91"/>
    </row>
    <row r="21" ht="18.75" customHeight="1">
      <c r="A21" s="89" t="s">
        <v>16</v>
      </c>
      <c r="B21" s="89" t="s">
        <v>155</v>
      </c>
      <c r="C21" s="65" t="s">
        <v>156</v>
      </c>
      <c r="D21" s="65" t="s">
        <v>91</v>
      </c>
      <c r="E21" s="66" t="s">
        <v>157</v>
      </c>
      <c r="F21" s="67">
        <v>30.2399</v>
      </c>
      <c r="G21" s="67">
        <v>-95.3819</v>
      </c>
      <c r="H21" s="65"/>
      <c r="I21" s="65" t="s">
        <v>93</v>
      </c>
      <c r="J21" s="65"/>
    </row>
    <row r="22" ht="18.75" customHeight="1">
      <c r="A22" s="90" t="s">
        <v>16</v>
      </c>
      <c r="B22" s="90" t="s">
        <v>158</v>
      </c>
      <c r="C22" s="91" t="s">
        <v>159</v>
      </c>
      <c r="D22" s="91" t="s">
        <v>91</v>
      </c>
      <c r="E22" s="92" t="s">
        <v>146</v>
      </c>
      <c r="F22" s="93">
        <v>30.2564</v>
      </c>
      <c r="G22" s="93">
        <v>-95.3157</v>
      </c>
      <c r="H22" s="91"/>
      <c r="I22" s="91" t="s">
        <v>93</v>
      </c>
      <c r="J22" s="91"/>
    </row>
    <row r="23" ht="18.75" customHeight="1">
      <c r="A23" s="89" t="s">
        <v>16</v>
      </c>
      <c r="B23" s="89" t="s">
        <v>160</v>
      </c>
      <c r="C23" s="65" t="s">
        <v>161</v>
      </c>
      <c r="D23" s="65" t="s">
        <v>162</v>
      </c>
      <c r="E23" s="66" t="s">
        <v>163</v>
      </c>
      <c r="F23" s="67">
        <v>30.1058</v>
      </c>
      <c r="G23" s="67">
        <v>-95.2291</v>
      </c>
      <c r="H23" s="65"/>
      <c r="I23" s="65" t="s">
        <v>93</v>
      </c>
      <c r="J23" s="65"/>
    </row>
    <row r="24" ht="18.75" customHeight="1">
      <c r="A24" s="90" t="s">
        <v>16</v>
      </c>
      <c r="B24" s="90" t="s">
        <v>164</v>
      </c>
      <c r="C24" s="91" t="s">
        <v>165</v>
      </c>
      <c r="D24" s="91" t="s">
        <v>162</v>
      </c>
      <c r="E24" s="92" t="s">
        <v>163</v>
      </c>
      <c r="F24" s="93">
        <v>30.1527</v>
      </c>
      <c r="G24" s="93">
        <v>-95.3036</v>
      </c>
      <c r="H24" s="91"/>
      <c r="I24" s="91" t="s">
        <v>93</v>
      </c>
      <c r="J24" s="91"/>
    </row>
    <row r="25" ht="18.75" customHeight="1">
      <c r="A25" s="99" t="s">
        <v>19</v>
      </c>
      <c r="B25" s="99" t="s">
        <v>168</v>
      </c>
      <c r="C25" s="65" t="s">
        <v>169</v>
      </c>
      <c r="D25" s="65" t="s">
        <v>138</v>
      </c>
      <c r="E25" s="66" t="s">
        <v>139</v>
      </c>
      <c r="F25" s="67">
        <v>30.2278</v>
      </c>
      <c r="G25" s="67">
        <v>-95.6934</v>
      </c>
      <c r="H25" s="65"/>
      <c r="I25" s="65" t="s">
        <v>93</v>
      </c>
      <c r="J25" s="65"/>
    </row>
    <row r="26" ht="18.75" customHeight="1">
      <c r="A26" s="100" t="s">
        <v>19</v>
      </c>
      <c r="B26" s="100" t="s">
        <v>170</v>
      </c>
      <c r="C26" s="101" t="s">
        <v>171</v>
      </c>
      <c r="D26" s="101" t="s">
        <v>172</v>
      </c>
      <c r="E26" s="102" t="s">
        <v>173</v>
      </c>
      <c r="F26" s="103">
        <v>30.1491</v>
      </c>
      <c r="G26" s="103">
        <v>-95.6624</v>
      </c>
      <c r="H26" s="101"/>
      <c r="I26" s="101" t="s">
        <v>93</v>
      </c>
      <c r="J26" s="101"/>
    </row>
    <row r="27" ht="18.75" customHeight="1">
      <c r="A27" s="99" t="s">
        <v>19</v>
      </c>
      <c r="B27" s="99" t="s">
        <v>174</v>
      </c>
      <c r="C27" s="65" t="s">
        <v>175</v>
      </c>
      <c r="D27" s="65" t="s">
        <v>138</v>
      </c>
      <c r="E27" s="66" t="s">
        <v>176</v>
      </c>
      <c r="F27" s="67">
        <v>30.1333</v>
      </c>
      <c r="G27" s="67">
        <v>-95.7534</v>
      </c>
      <c r="H27" s="65"/>
      <c r="I27" s="65" t="s">
        <v>93</v>
      </c>
      <c r="J27" s="65"/>
    </row>
    <row r="28" ht="18.75" customHeight="1">
      <c r="A28" s="100" t="s">
        <v>19</v>
      </c>
      <c r="B28" s="100" t="s">
        <v>177</v>
      </c>
      <c r="C28" s="101" t="s">
        <v>178</v>
      </c>
      <c r="D28" s="101" t="s">
        <v>179</v>
      </c>
      <c r="E28" s="102" t="s">
        <v>180</v>
      </c>
      <c r="F28" s="103">
        <v>30.3861</v>
      </c>
      <c r="G28" s="103">
        <v>-95.6619</v>
      </c>
      <c r="H28" s="101"/>
      <c r="I28" s="101" t="s">
        <v>93</v>
      </c>
      <c r="J28" s="101"/>
    </row>
    <row r="29" ht="18.75" customHeight="1">
      <c r="A29" s="99" t="s">
        <v>19</v>
      </c>
      <c r="B29" s="99" t="s">
        <v>181</v>
      </c>
      <c r="C29" s="65" t="s">
        <v>182</v>
      </c>
      <c r="D29" s="65" t="s">
        <v>179</v>
      </c>
      <c r="E29" s="66" t="s">
        <v>180</v>
      </c>
      <c r="F29" s="67">
        <v>30.4376</v>
      </c>
      <c r="G29" s="67">
        <v>-95.6367</v>
      </c>
      <c r="H29" s="65"/>
      <c r="I29" s="65" t="s">
        <v>93</v>
      </c>
      <c r="J29" s="65"/>
    </row>
    <row r="30" ht="18.75" customHeight="1">
      <c r="A30" s="100" t="s">
        <v>19</v>
      </c>
      <c r="B30" s="100" t="s">
        <v>183</v>
      </c>
      <c r="C30" s="101" t="s">
        <v>184</v>
      </c>
      <c r="D30" s="101" t="s">
        <v>179</v>
      </c>
      <c r="E30" s="102" t="s">
        <v>185</v>
      </c>
      <c r="F30" s="103">
        <v>30.2826</v>
      </c>
      <c r="G30" s="103">
        <v>-95.5674</v>
      </c>
      <c r="H30" s="101"/>
      <c r="I30" s="101" t="s">
        <v>93</v>
      </c>
      <c r="J30" s="101"/>
    </row>
    <row r="31" ht="18.75" customHeight="1">
      <c r="A31" s="99" t="s">
        <v>19</v>
      </c>
      <c r="B31" s="99" t="s">
        <v>186</v>
      </c>
      <c r="C31" s="65" t="s">
        <v>187</v>
      </c>
      <c r="D31" s="65" t="s">
        <v>179</v>
      </c>
      <c r="E31" s="66" t="s">
        <v>185</v>
      </c>
      <c r="F31" s="67">
        <v>30.3253</v>
      </c>
      <c r="G31" s="67">
        <v>-95.6678</v>
      </c>
      <c r="H31" s="65"/>
      <c r="I31" s="65" t="s">
        <v>93</v>
      </c>
      <c r="J31" s="65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J$31"/>
  <mergeCells count="1">
    <mergeCell ref="A1:J1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1B9A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32.0"/>
    <col customWidth="1" min="3" max="3" width="30.0"/>
    <col customWidth="1" min="4" max="4" width="14.0"/>
    <col customWidth="1" min="5" max="5" width="8.0"/>
    <col customWidth="1" min="6" max="6" width="32.0"/>
    <col customWidth="1" min="7" max="7" width="20.0"/>
    <col customWidth="1" min="8" max="8" width="16.0"/>
    <col customWidth="1" min="9" max="26" width="8.71"/>
  </cols>
  <sheetData>
    <row r="1" ht="27.75" customHeight="1">
      <c r="A1" s="107" t="s">
        <v>190</v>
      </c>
      <c r="B1" s="2"/>
      <c r="C1" s="2"/>
      <c r="D1" s="2"/>
      <c r="E1" s="2"/>
      <c r="F1" s="2"/>
      <c r="G1" s="2"/>
      <c r="H1" s="3"/>
    </row>
    <row r="2" ht="18.0" customHeight="1">
      <c r="A2" s="108" t="s">
        <v>191</v>
      </c>
      <c r="B2" s="2"/>
      <c r="C2" s="2"/>
      <c r="D2" s="2"/>
      <c r="E2" s="2"/>
      <c r="F2" s="2"/>
      <c r="G2" s="2"/>
      <c r="H2" s="3"/>
    </row>
    <row r="3" ht="21.75" customHeight="1">
      <c r="A3" s="109" t="s">
        <v>192</v>
      </c>
      <c r="B3" s="109" t="s">
        <v>23</v>
      </c>
      <c r="C3" s="109" t="s">
        <v>24</v>
      </c>
      <c r="D3" s="109" t="s">
        <v>81</v>
      </c>
      <c r="E3" s="109" t="s">
        <v>82</v>
      </c>
      <c r="F3" s="109" t="s">
        <v>85</v>
      </c>
      <c r="G3" s="109" t="s">
        <v>189</v>
      </c>
      <c r="H3" s="109" t="s">
        <v>87</v>
      </c>
    </row>
    <row r="4" ht="19.5" customHeight="1">
      <c r="A4" s="110">
        <v>1.0</v>
      </c>
      <c r="B4" s="111" t="s">
        <v>25</v>
      </c>
      <c r="C4" s="112" t="s">
        <v>193</v>
      </c>
      <c r="D4" s="112" t="s">
        <v>91</v>
      </c>
      <c r="E4" s="110" t="s">
        <v>96</v>
      </c>
      <c r="F4" s="113" t="s">
        <v>194</v>
      </c>
      <c r="G4" s="113" t="s">
        <v>93</v>
      </c>
      <c r="H4" s="112"/>
    </row>
    <row r="5" ht="19.5" customHeight="1">
      <c r="A5" s="66">
        <v>2.0</v>
      </c>
      <c r="B5" s="114" t="s">
        <v>28</v>
      </c>
      <c r="C5" s="65" t="s">
        <v>152</v>
      </c>
      <c r="D5" s="65" t="s">
        <v>153</v>
      </c>
      <c r="E5" s="66" t="s">
        <v>154</v>
      </c>
      <c r="F5" s="115" t="s">
        <v>195</v>
      </c>
      <c r="G5" s="115" t="s">
        <v>196</v>
      </c>
      <c r="H5" s="65"/>
    </row>
    <row r="6" ht="19.5" customHeight="1">
      <c r="A6" s="110">
        <v>3.0</v>
      </c>
      <c r="B6" s="111" t="s">
        <v>30</v>
      </c>
      <c r="C6" s="112" t="s">
        <v>197</v>
      </c>
      <c r="D6" s="112" t="s">
        <v>99</v>
      </c>
      <c r="E6" s="110" t="s">
        <v>109</v>
      </c>
      <c r="F6" s="113" t="s">
        <v>198</v>
      </c>
      <c r="G6" s="113" t="s">
        <v>196</v>
      </c>
      <c r="H6" s="112"/>
    </row>
    <row r="7" ht="19.5" customHeight="1">
      <c r="A7" s="66">
        <v>4.0</v>
      </c>
      <c r="B7" s="114" t="s">
        <v>32</v>
      </c>
      <c r="C7" s="65" t="s">
        <v>199</v>
      </c>
      <c r="D7" s="65" t="s">
        <v>120</v>
      </c>
      <c r="E7" s="66" t="s">
        <v>121</v>
      </c>
      <c r="F7" s="115" t="s">
        <v>200</v>
      </c>
      <c r="G7" s="115" t="s">
        <v>196</v>
      </c>
      <c r="H7" s="65"/>
    </row>
    <row r="8" ht="19.5" customHeight="1">
      <c r="A8" s="110">
        <v>5.0</v>
      </c>
      <c r="B8" s="111" t="s">
        <v>34</v>
      </c>
      <c r="C8" s="112" t="s">
        <v>169</v>
      </c>
      <c r="D8" s="112" t="s">
        <v>138</v>
      </c>
      <c r="E8" s="110" t="s">
        <v>139</v>
      </c>
      <c r="F8" s="113" t="s">
        <v>201</v>
      </c>
      <c r="G8" s="113" t="s">
        <v>196</v>
      </c>
      <c r="H8" s="112"/>
    </row>
    <row r="9" ht="19.5" customHeight="1">
      <c r="A9" s="66">
        <v>6.0</v>
      </c>
      <c r="B9" s="114" t="s">
        <v>36</v>
      </c>
      <c r="C9" s="65" t="s">
        <v>202</v>
      </c>
      <c r="D9" s="65" t="s">
        <v>91</v>
      </c>
      <c r="E9" s="66" t="s">
        <v>146</v>
      </c>
      <c r="F9" s="115" t="s">
        <v>203</v>
      </c>
      <c r="G9" s="115" t="s">
        <v>196</v>
      </c>
      <c r="H9" s="65"/>
    </row>
    <row r="10" ht="19.5" customHeight="1">
      <c r="A10" s="110">
        <v>7.0</v>
      </c>
      <c r="B10" s="111" t="s">
        <v>38</v>
      </c>
      <c r="C10" s="112" t="s">
        <v>204</v>
      </c>
      <c r="D10" s="112" t="s">
        <v>91</v>
      </c>
      <c r="E10" s="110" t="s">
        <v>96</v>
      </c>
      <c r="F10" s="113" t="s">
        <v>205</v>
      </c>
      <c r="G10" s="113" t="s">
        <v>196</v>
      </c>
      <c r="H10" s="112"/>
    </row>
    <row r="11" ht="15.0" customHeight="1">
      <c r="A11" s="116" t="s">
        <v>206</v>
      </c>
      <c r="B11" s="73"/>
      <c r="C11" s="117" t="str">
        <f>COUNTIF(G4:G10,"Completed")&amp;" of 7 Completed"</f>
        <v>0 of 7 Completed</v>
      </c>
      <c r="D11" s="75"/>
      <c r="E11" s="75"/>
      <c r="F11" s="75"/>
      <c r="G11" s="7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H1"/>
    <mergeCell ref="A2:H2"/>
    <mergeCell ref="A11:B11"/>
    <mergeCell ref="C11:G11"/>
  </mergeCell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7474F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0"/>
    <col customWidth="1" min="2" max="2" width="38.0"/>
    <col customWidth="1" min="3" max="3" width="16.0"/>
    <col customWidth="1" min="4" max="4" width="24.14"/>
    <col customWidth="1" min="5" max="5" width="10.0"/>
    <col customWidth="1" min="6" max="6" width="14.0"/>
    <col customWidth="1" min="7" max="7" width="32.0"/>
    <col customWidth="1" min="8" max="8" width="26.0"/>
    <col customWidth="1" min="9" max="26" width="8.71"/>
  </cols>
  <sheetData>
    <row r="1" ht="30.0" customHeight="1">
      <c r="A1" s="42" t="s">
        <v>207</v>
      </c>
      <c r="B1" s="2"/>
      <c r="C1" s="2"/>
      <c r="D1" s="2"/>
      <c r="E1" s="2"/>
      <c r="F1" s="2"/>
      <c r="G1" s="2"/>
      <c r="H1" s="3"/>
    </row>
    <row r="2" ht="15.75" customHeight="1">
      <c r="A2" s="118" t="s">
        <v>208</v>
      </c>
      <c r="B2" s="2"/>
      <c r="C2" s="2"/>
      <c r="D2" s="2"/>
      <c r="E2" s="2"/>
      <c r="F2" s="2"/>
      <c r="G2" s="2"/>
      <c r="H2" s="3"/>
    </row>
    <row r="3" ht="21.75" customHeight="1">
      <c r="A3" s="119" t="s">
        <v>209</v>
      </c>
      <c r="B3" s="119" t="s">
        <v>210</v>
      </c>
      <c r="C3" s="119" t="s">
        <v>211</v>
      </c>
      <c r="D3" s="119" t="s">
        <v>212</v>
      </c>
      <c r="E3" s="119" t="s">
        <v>213</v>
      </c>
      <c r="F3" s="119" t="s">
        <v>214</v>
      </c>
      <c r="G3" s="119" t="s">
        <v>215</v>
      </c>
      <c r="H3" s="119" t="s">
        <v>43</v>
      </c>
    </row>
    <row r="4" ht="18.75" customHeight="1">
      <c r="A4" s="120">
        <v>1.0</v>
      </c>
      <c r="B4" s="121" t="s">
        <v>25</v>
      </c>
      <c r="C4" s="122" t="s">
        <v>216</v>
      </c>
      <c r="D4" s="120" t="s">
        <v>217</v>
      </c>
      <c r="E4" s="120" t="s">
        <v>218</v>
      </c>
      <c r="F4" s="120" t="s">
        <v>219</v>
      </c>
      <c r="G4" s="30" t="s">
        <v>220</v>
      </c>
      <c r="H4" s="123" t="s">
        <v>221</v>
      </c>
    </row>
    <row r="5" ht="18.75" customHeight="1">
      <c r="A5" s="120">
        <v>2.0</v>
      </c>
      <c r="B5" s="121" t="s">
        <v>222</v>
      </c>
      <c r="C5" s="122" t="s">
        <v>216</v>
      </c>
      <c r="D5" s="120" t="s">
        <v>223</v>
      </c>
      <c r="E5" s="120" t="s">
        <v>218</v>
      </c>
      <c r="F5" s="120" t="s">
        <v>224</v>
      </c>
      <c r="G5" s="30" t="s">
        <v>220</v>
      </c>
      <c r="H5" s="123" t="s">
        <v>221</v>
      </c>
    </row>
    <row r="6" ht="18.75" customHeight="1">
      <c r="A6" s="120">
        <v>3.0</v>
      </c>
      <c r="B6" s="121" t="s">
        <v>225</v>
      </c>
      <c r="C6" s="122" t="s">
        <v>216</v>
      </c>
      <c r="D6" s="120" t="s">
        <v>226</v>
      </c>
      <c r="E6" s="120" t="s">
        <v>227</v>
      </c>
      <c r="F6" s="120" t="s">
        <v>228</v>
      </c>
      <c r="G6" s="30" t="s">
        <v>220</v>
      </c>
      <c r="H6" s="123" t="s">
        <v>221</v>
      </c>
    </row>
    <row r="7" ht="18.75" customHeight="1">
      <c r="A7" s="120">
        <v>4.0</v>
      </c>
      <c r="B7" s="121" t="s">
        <v>229</v>
      </c>
      <c r="C7" s="122" t="s">
        <v>216</v>
      </c>
      <c r="D7" s="120" t="s">
        <v>230</v>
      </c>
      <c r="E7" s="120" t="s">
        <v>218</v>
      </c>
      <c r="F7" s="120" t="s">
        <v>231</v>
      </c>
      <c r="G7" s="30" t="s">
        <v>220</v>
      </c>
      <c r="H7" s="123" t="s">
        <v>221</v>
      </c>
    </row>
    <row r="8" ht="18.75" customHeight="1">
      <c r="A8" s="120">
        <v>5.0</v>
      </c>
      <c r="B8" s="121" t="s">
        <v>232</v>
      </c>
      <c r="C8" s="122" t="s">
        <v>216</v>
      </c>
      <c r="D8" s="120" t="s">
        <v>233</v>
      </c>
      <c r="E8" s="120" t="s">
        <v>218</v>
      </c>
      <c r="F8" s="120" t="s">
        <v>234</v>
      </c>
      <c r="G8" s="30" t="s">
        <v>220</v>
      </c>
      <c r="H8" s="123" t="s">
        <v>221</v>
      </c>
    </row>
    <row r="9" ht="18.75" customHeight="1">
      <c r="A9" s="120">
        <v>6.0</v>
      </c>
      <c r="B9" s="121" t="s">
        <v>235</v>
      </c>
      <c r="C9" s="122" t="s">
        <v>216</v>
      </c>
      <c r="D9" s="120" t="s">
        <v>236</v>
      </c>
      <c r="E9" s="120" t="s">
        <v>227</v>
      </c>
      <c r="F9" s="120" t="s">
        <v>237</v>
      </c>
      <c r="G9" s="30" t="s">
        <v>220</v>
      </c>
      <c r="H9" s="123" t="s">
        <v>221</v>
      </c>
    </row>
    <row r="10" ht="18.75" customHeight="1">
      <c r="A10" s="120">
        <v>7.0</v>
      </c>
      <c r="B10" s="121" t="s">
        <v>238</v>
      </c>
      <c r="C10" s="122" t="s">
        <v>216</v>
      </c>
      <c r="D10" s="120" t="s">
        <v>239</v>
      </c>
      <c r="E10" s="120" t="s">
        <v>218</v>
      </c>
      <c r="F10" s="120" t="s">
        <v>240</v>
      </c>
      <c r="G10" s="30" t="s">
        <v>220</v>
      </c>
      <c r="H10" s="123" t="s">
        <v>221</v>
      </c>
    </row>
    <row r="11" ht="18.75" customHeight="1">
      <c r="A11" s="120">
        <v>8.0</v>
      </c>
      <c r="B11" s="121" t="s">
        <v>241</v>
      </c>
      <c r="C11" s="122" t="s">
        <v>216</v>
      </c>
      <c r="D11" s="120" t="s">
        <v>242</v>
      </c>
      <c r="E11" s="120" t="s">
        <v>218</v>
      </c>
      <c r="F11" s="120" t="s">
        <v>243</v>
      </c>
      <c r="G11" s="30" t="s">
        <v>220</v>
      </c>
      <c r="H11" s="123" t="s">
        <v>221</v>
      </c>
    </row>
    <row r="12" ht="18.75" customHeight="1">
      <c r="A12" s="120">
        <v>9.0</v>
      </c>
      <c r="B12" s="121" t="s">
        <v>244</v>
      </c>
      <c r="C12" s="122" t="s">
        <v>216</v>
      </c>
      <c r="D12" s="120" t="s">
        <v>245</v>
      </c>
      <c r="E12" s="120" t="s">
        <v>218</v>
      </c>
      <c r="F12" s="120" t="s">
        <v>246</v>
      </c>
      <c r="G12" s="30" t="s">
        <v>220</v>
      </c>
      <c r="H12" s="123" t="s">
        <v>221</v>
      </c>
    </row>
    <row r="13" ht="18.75" customHeight="1">
      <c r="A13" s="120">
        <v>10.0</v>
      </c>
      <c r="B13" s="121" t="s">
        <v>247</v>
      </c>
      <c r="C13" s="122" t="s">
        <v>216</v>
      </c>
      <c r="D13" s="120" t="s">
        <v>248</v>
      </c>
      <c r="E13" s="120" t="s">
        <v>218</v>
      </c>
      <c r="F13" s="120" t="s">
        <v>249</v>
      </c>
      <c r="G13" s="30" t="s">
        <v>220</v>
      </c>
      <c r="H13" s="123" t="s">
        <v>221</v>
      </c>
    </row>
    <row r="14" ht="18.75" customHeight="1">
      <c r="A14" s="120">
        <v>11.0</v>
      </c>
      <c r="B14" s="121" t="s">
        <v>250</v>
      </c>
      <c r="C14" s="122" t="s">
        <v>216</v>
      </c>
      <c r="D14" s="120" t="s">
        <v>251</v>
      </c>
      <c r="E14" s="120" t="s">
        <v>227</v>
      </c>
      <c r="F14" s="120" t="s">
        <v>252</v>
      </c>
      <c r="G14" s="30" t="s">
        <v>220</v>
      </c>
      <c r="H14" s="123" t="s">
        <v>221</v>
      </c>
    </row>
    <row r="15" ht="18.75" customHeight="1">
      <c r="A15" s="120">
        <v>12.0</v>
      </c>
      <c r="B15" s="121" t="s">
        <v>253</v>
      </c>
      <c r="C15" s="122" t="s">
        <v>216</v>
      </c>
      <c r="D15" s="120" t="s">
        <v>254</v>
      </c>
      <c r="E15" s="120" t="s">
        <v>218</v>
      </c>
      <c r="F15" s="120" t="s">
        <v>255</v>
      </c>
      <c r="G15" s="30" t="s">
        <v>220</v>
      </c>
      <c r="H15" s="123" t="s">
        <v>221</v>
      </c>
    </row>
    <row r="16" ht="18.75" customHeight="1">
      <c r="A16" s="124">
        <v>13.0</v>
      </c>
      <c r="B16" s="125" t="s">
        <v>256</v>
      </c>
      <c r="C16" s="126" t="s">
        <v>257</v>
      </c>
      <c r="D16" s="124" t="s">
        <v>258</v>
      </c>
      <c r="E16" s="124" t="s">
        <v>259</v>
      </c>
      <c r="F16" s="124" t="s">
        <v>260</v>
      </c>
      <c r="G16" s="33" t="s">
        <v>261</v>
      </c>
      <c r="H16" s="127" t="s">
        <v>262</v>
      </c>
    </row>
    <row r="17" ht="18.75" customHeight="1">
      <c r="A17" s="120">
        <v>15.0</v>
      </c>
      <c r="B17" s="121" t="s">
        <v>263</v>
      </c>
      <c r="C17" s="122" t="s">
        <v>216</v>
      </c>
      <c r="D17" s="120" t="s">
        <v>264</v>
      </c>
      <c r="E17" s="120" t="s">
        <v>218</v>
      </c>
      <c r="F17" s="120" t="s">
        <v>265</v>
      </c>
      <c r="G17" s="30" t="s">
        <v>220</v>
      </c>
      <c r="H17" s="123" t="s">
        <v>221</v>
      </c>
    </row>
    <row r="18" ht="18.75" customHeight="1">
      <c r="A18" s="120">
        <v>16.0</v>
      </c>
      <c r="B18" s="121" t="s">
        <v>266</v>
      </c>
      <c r="C18" s="122" t="s">
        <v>216</v>
      </c>
      <c r="D18" s="120" t="s">
        <v>267</v>
      </c>
      <c r="E18" s="120" t="s">
        <v>218</v>
      </c>
      <c r="F18" s="120" t="s">
        <v>268</v>
      </c>
      <c r="G18" s="30" t="s">
        <v>220</v>
      </c>
      <c r="H18" s="123" t="s">
        <v>221</v>
      </c>
    </row>
    <row r="19" ht="18.75" customHeight="1">
      <c r="A19" s="124">
        <v>17.0</v>
      </c>
      <c r="B19" s="125" t="s">
        <v>30</v>
      </c>
      <c r="C19" s="126" t="s">
        <v>257</v>
      </c>
      <c r="D19" s="124" t="s">
        <v>269</v>
      </c>
      <c r="E19" s="124" t="s">
        <v>218</v>
      </c>
      <c r="F19" s="124" t="s">
        <v>270</v>
      </c>
      <c r="G19" s="33" t="s">
        <v>261</v>
      </c>
      <c r="H19" s="128" t="s">
        <v>271</v>
      </c>
    </row>
    <row r="20" ht="18.75" customHeight="1">
      <c r="A20" s="124">
        <v>18.0</v>
      </c>
      <c r="B20" s="125" t="s">
        <v>32</v>
      </c>
      <c r="C20" s="126" t="s">
        <v>257</v>
      </c>
      <c r="D20" s="124" t="s">
        <v>272</v>
      </c>
      <c r="E20" s="124" t="s">
        <v>218</v>
      </c>
      <c r="F20" s="124" t="s">
        <v>273</v>
      </c>
      <c r="G20" s="33" t="s">
        <v>261</v>
      </c>
      <c r="H20" s="128" t="s">
        <v>274</v>
      </c>
    </row>
    <row r="21" ht="18.75" customHeight="1">
      <c r="A21" s="124">
        <v>19.0</v>
      </c>
      <c r="B21" s="125" t="s">
        <v>34</v>
      </c>
      <c r="C21" s="126" t="s">
        <v>257</v>
      </c>
      <c r="D21" s="124" t="s">
        <v>275</v>
      </c>
      <c r="E21" s="124" t="s">
        <v>218</v>
      </c>
      <c r="F21" s="124" t="s">
        <v>276</v>
      </c>
      <c r="G21" s="33" t="s">
        <v>261</v>
      </c>
      <c r="H21" s="128" t="s">
        <v>274</v>
      </c>
    </row>
    <row r="22" ht="18.75" customHeight="1">
      <c r="A22" s="124">
        <v>37.0</v>
      </c>
      <c r="B22" s="125" t="s">
        <v>277</v>
      </c>
      <c r="C22" s="126" t="s">
        <v>257</v>
      </c>
      <c r="D22" s="124" t="s">
        <v>278</v>
      </c>
      <c r="E22" s="124" t="s">
        <v>227</v>
      </c>
      <c r="F22" s="124" t="s">
        <v>279</v>
      </c>
      <c r="G22" s="33" t="s">
        <v>261</v>
      </c>
      <c r="H22" s="128" t="s">
        <v>274</v>
      </c>
    </row>
    <row r="23" ht="18.75" customHeight="1">
      <c r="A23" s="129">
        <v>21.0</v>
      </c>
      <c r="B23" s="130" t="s">
        <v>280</v>
      </c>
      <c r="C23" s="131" t="s">
        <v>281</v>
      </c>
      <c r="D23" s="129" t="s">
        <v>282</v>
      </c>
      <c r="E23" s="129" t="s">
        <v>218</v>
      </c>
      <c r="F23" s="129" t="s">
        <v>283</v>
      </c>
      <c r="G23" s="36" t="s">
        <v>284</v>
      </c>
      <c r="H23" s="132" t="s">
        <v>285</v>
      </c>
    </row>
    <row r="24" ht="18.75" customHeight="1">
      <c r="A24" s="124">
        <v>22.0</v>
      </c>
      <c r="B24" s="125" t="s">
        <v>286</v>
      </c>
      <c r="C24" s="126" t="s">
        <v>257</v>
      </c>
      <c r="D24" s="124" t="s">
        <v>287</v>
      </c>
      <c r="E24" s="124" t="s">
        <v>218</v>
      </c>
      <c r="F24" s="124" t="s">
        <v>288</v>
      </c>
      <c r="G24" s="33" t="s">
        <v>261</v>
      </c>
      <c r="H24" s="127" t="s">
        <v>262</v>
      </c>
    </row>
    <row r="25" ht="18.75" customHeight="1">
      <c r="A25" s="129">
        <v>23.0</v>
      </c>
      <c r="B25" s="130" t="s">
        <v>289</v>
      </c>
      <c r="C25" s="131" t="s">
        <v>281</v>
      </c>
      <c r="D25" s="129" t="s">
        <v>290</v>
      </c>
      <c r="E25" s="129" t="s">
        <v>218</v>
      </c>
      <c r="F25" s="129" t="s">
        <v>291</v>
      </c>
      <c r="G25" s="36" t="s">
        <v>284</v>
      </c>
      <c r="H25" s="132" t="s">
        <v>285</v>
      </c>
    </row>
    <row r="26" ht="18.75" customHeight="1">
      <c r="A26" s="129">
        <v>24.0</v>
      </c>
      <c r="B26" s="130" t="s">
        <v>292</v>
      </c>
      <c r="C26" s="131" t="s">
        <v>281</v>
      </c>
      <c r="D26" s="129" t="s">
        <v>293</v>
      </c>
      <c r="E26" s="129" t="s">
        <v>218</v>
      </c>
      <c r="F26" s="129" t="s">
        <v>294</v>
      </c>
      <c r="G26" s="36" t="s">
        <v>284</v>
      </c>
      <c r="H26" s="132" t="s">
        <v>285</v>
      </c>
    </row>
    <row r="27" ht="18.75" customHeight="1">
      <c r="A27" s="129">
        <v>30.0</v>
      </c>
      <c r="B27" s="130" t="s">
        <v>295</v>
      </c>
      <c r="C27" s="131" t="s">
        <v>296</v>
      </c>
      <c r="D27" s="129" t="s">
        <v>297</v>
      </c>
      <c r="E27" s="129" t="s">
        <v>227</v>
      </c>
      <c r="F27" s="129" t="s">
        <v>298</v>
      </c>
      <c r="G27" s="36" t="s">
        <v>284</v>
      </c>
      <c r="H27" s="132" t="s">
        <v>299</v>
      </c>
    </row>
    <row r="28" ht="18.75" customHeight="1">
      <c r="A28" s="124">
        <v>26.0</v>
      </c>
      <c r="B28" s="125" t="s">
        <v>36</v>
      </c>
      <c r="C28" s="126" t="s">
        <v>257</v>
      </c>
      <c r="D28" s="124" t="s">
        <v>300</v>
      </c>
      <c r="E28" s="124" t="s">
        <v>218</v>
      </c>
      <c r="F28" s="124" t="s">
        <v>301</v>
      </c>
      <c r="G28" s="33" t="s">
        <v>261</v>
      </c>
      <c r="H28" s="127" t="s">
        <v>262</v>
      </c>
    </row>
    <row r="29" ht="18.75" customHeight="1">
      <c r="A29" s="120">
        <v>27.0</v>
      </c>
      <c r="B29" s="121" t="s">
        <v>302</v>
      </c>
      <c r="C29" s="122" t="s">
        <v>216</v>
      </c>
      <c r="D29" s="120" t="s">
        <v>303</v>
      </c>
      <c r="E29" s="120" t="s">
        <v>227</v>
      </c>
      <c r="F29" s="120" t="s">
        <v>304</v>
      </c>
      <c r="G29" s="30" t="s">
        <v>220</v>
      </c>
      <c r="H29" s="123" t="s">
        <v>221</v>
      </c>
    </row>
    <row r="30" ht="18.75" customHeight="1">
      <c r="A30" s="129">
        <v>28.0</v>
      </c>
      <c r="B30" s="130" t="s">
        <v>305</v>
      </c>
      <c r="C30" s="131" t="s">
        <v>281</v>
      </c>
      <c r="D30" s="129" t="s">
        <v>306</v>
      </c>
      <c r="E30" s="129" t="s">
        <v>227</v>
      </c>
      <c r="F30" s="129" t="s">
        <v>307</v>
      </c>
      <c r="G30" s="36" t="s">
        <v>284</v>
      </c>
      <c r="H30" s="132" t="s">
        <v>285</v>
      </c>
    </row>
    <row r="31" ht="18.75" customHeight="1">
      <c r="A31" s="120">
        <v>29.0</v>
      </c>
      <c r="B31" s="121" t="s">
        <v>308</v>
      </c>
      <c r="C31" s="122" t="s">
        <v>216</v>
      </c>
      <c r="D31" s="120" t="s">
        <v>309</v>
      </c>
      <c r="E31" s="120" t="s">
        <v>310</v>
      </c>
      <c r="F31" s="120" t="s">
        <v>311</v>
      </c>
      <c r="G31" s="30" t="s">
        <v>220</v>
      </c>
      <c r="H31" s="123" t="s">
        <v>221</v>
      </c>
    </row>
    <row r="32" ht="18.75" customHeight="1">
      <c r="A32" s="124">
        <v>31.0</v>
      </c>
      <c r="B32" s="125" t="s">
        <v>312</v>
      </c>
      <c r="C32" s="126" t="s">
        <v>257</v>
      </c>
      <c r="D32" s="124" t="s">
        <v>313</v>
      </c>
      <c r="E32" s="124" t="s">
        <v>227</v>
      </c>
      <c r="F32" s="124" t="s">
        <v>314</v>
      </c>
      <c r="G32" s="33" t="s">
        <v>261</v>
      </c>
      <c r="H32" s="127" t="s">
        <v>262</v>
      </c>
    </row>
    <row r="33" ht="18.75" customHeight="1">
      <c r="A33" s="124">
        <v>32.0</v>
      </c>
      <c r="B33" s="125" t="s">
        <v>315</v>
      </c>
      <c r="C33" s="126" t="s">
        <v>257</v>
      </c>
      <c r="D33" s="124" t="s">
        <v>316</v>
      </c>
      <c r="E33" s="124" t="s">
        <v>227</v>
      </c>
      <c r="F33" s="124" t="s">
        <v>317</v>
      </c>
      <c r="G33" s="33" t="s">
        <v>261</v>
      </c>
      <c r="H33" s="127" t="s">
        <v>262</v>
      </c>
    </row>
    <row r="34" ht="18.75" customHeight="1">
      <c r="A34" s="120">
        <v>33.0</v>
      </c>
      <c r="B34" s="121" t="s">
        <v>318</v>
      </c>
      <c r="C34" s="122" t="s">
        <v>216</v>
      </c>
      <c r="D34" s="120" t="s">
        <v>319</v>
      </c>
      <c r="E34" s="120" t="s">
        <v>227</v>
      </c>
      <c r="F34" s="120" t="s">
        <v>320</v>
      </c>
      <c r="G34" s="30" t="s">
        <v>220</v>
      </c>
      <c r="H34" s="123" t="s">
        <v>221</v>
      </c>
    </row>
    <row r="35" ht="18.75" customHeight="1">
      <c r="A35" s="124">
        <v>34.0</v>
      </c>
      <c r="B35" s="125" t="s">
        <v>321</v>
      </c>
      <c r="C35" s="126" t="s">
        <v>257</v>
      </c>
      <c r="D35" s="124" t="s">
        <v>322</v>
      </c>
      <c r="E35" s="124" t="s">
        <v>227</v>
      </c>
      <c r="F35" s="124" t="s">
        <v>323</v>
      </c>
      <c r="G35" s="33" t="s">
        <v>261</v>
      </c>
      <c r="H35" s="127" t="s">
        <v>262</v>
      </c>
    </row>
    <row r="36" ht="18.75" customHeight="1">
      <c r="A36" s="124">
        <v>35.0</v>
      </c>
      <c r="B36" s="125" t="s">
        <v>324</v>
      </c>
      <c r="C36" s="126" t="s">
        <v>257</v>
      </c>
      <c r="D36" s="124" t="s">
        <v>325</v>
      </c>
      <c r="E36" s="124" t="s">
        <v>326</v>
      </c>
      <c r="F36" s="124" t="s">
        <v>327</v>
      </c>
      <c r="G36" s="33" t="s">
        <v>261</v>
      </c>
      <c r="H36" s="127" t="s">
        <v>262</v>
      </c>
    </row>
    <row r="37" ht="18.75" customHeight="1">
      <c r="A37" s="120">
        <v>36.0</v>
      </c>
      <c r="B37" s="121" t="s">
        <v>328</v>
      </c>
      <c r="C37" s="122" t="s">
        <v>216</v>
      </c>
      <c r="D37" s="120" t="s">
        <v>329</v>
      </c>
      <c r="E37" s="120" t="s">
        <v>227</v>
      </c>
      <c r="F37" s="120" t="s">
        <v>330</v>
      </c>
      <c r="G37" s="30" t="s">
        <v>220</v>
      </c>
      <c r="H37" s="123" t="s">
        <v>221</v>
      </c>
    </row>
    <row r="38" ht="18.75" customHeight="1">
      <c r="A38" s="124">
        <v>38.0</v>
      </c>
      <c r="B38" s="125" t="s">
        <v>331</v>
      </c>
      <c r="C38" s="126" t="s">
        <v>257</v>
      </c>
      <c r="D38" s="124" t="s">
        <v>332</v>
      </c>
      <c r="E38" s="124" t="s">
        <v>227</v>
      </c>
      <c r="F38" s="124" t="s">
        <v>333</v>
      </c>
      <c r="G38" s="33" t="s">
        <v>261</v>
      </c>
      <c r="H38" s="127" t="s">
        <v>262</v>
      </c>
    </row>
    <row r="39" ht="18.75" customHeight="1">
      <c r="A39" s="124">
        <v>39.0</v>
      </c>
      <c r="B39" s="125" t="s">
        <v>334</v>
      </c>
      <c r="C39" s="126" t="s">
        <v>257</v>
      </c>
      <c r="D39" s="124" t="s">
        <v>335</v>
      </c>
      <c r="E39" s="124" t="s">
        <v>336</v>
      </c>
      <c r="F39" s="124" t="s">
        <v>337</v>
      </c>
      <c r="G39" s="33" t="s">
        <v>261</v>
      </c>
      <c r="H39" s="127" t="s">
        <v>262</v>
      </c>
    </row>
    <row r="40" ht="18.75" customHeight="1">
      <c r="A40" s="124">
        <v>40.0</v>
      </c>
      <c r="B40" s="125" t="s">
        <v>338</v>
      </c>
      <c r="C40" s="126" t="s">
        <v>257</v>
      </c>
      <c r="D40" s="124" t="s">
        <v>339</v>
      </c>
      <c r="E40" s="124" t="s">
        <v>340</v>
      </c>
      <c r="F40" s="124" t="s">
        <v>341</v>
      </c>
      <c r="G40" s="33" t="s">
        <v>261</v>
      </c>
      <c r="H40" s="127" t="s">
        <v>262</v>
      </c>
    </row>
    <row r="41" ht="18.75" customHeight="1">
      <c r="A41" s="120">
        <v>153.0</v>
      </c>
      <c r="B41" s="121" t="s">
        <v>342</v>
      </c>
      <c r="C41" s="122" t="s">
        <v>216</v>
      </c>
      <c r="D41" s="120" t="s">
        <v>343</v>
      </c>
      <c r="E41" s="120" t="s">
        <v>344</v>
      </c>
      <c r="F41" s="120" t="s">
        <v>345</v>
      </c>
      <c r="G41" s="30" t="s">
        <v>220</v>
      </c>
      <c r="H41" s="123" t="s">
        <v>221</v>
      </c>
    </row>
    <row r="42" ht="18.75" customHeight="1">
      <c r="A42" s="120">
        <v>41.0</v>
      </c>
      <c r="B42" s="121" t="s">
        <v>346</v>
      </c>
      <c r="C42" s="122" t="s">
        <v>216</v>
      </c>
      <c r="D42" s="120" t="s">
        <v>347</v>
      </c>
      <c r="E42" s="120" t="s">
        <v>348</v>
      </c>
      <c r="F42" s="120" t="s">
        <v>349</v>
      </c>
      <c r="G42" s="30" t="s">
        <v>220</v>
      </c>
      <c r="H42" s="123" t="s">
        <v>221</v>
      </c>
    </row>
    <row r="43" ht="18.75" customHeight="1">
      <c r="A43" s="124">
        <v>42.0</v>
      </c>
      <c r="B43" s="125" t="s">
        <v>350</v>
      </c>
      <c r="C43" s="126" t="s">
        <v>257</v>
      </c>
      <c r="D43" s="124" t="s">
        <v>351</v>
      </c>
      <c r="E43" s="124" t="s">
        <v>352</v>
      </c>
      <c r="F43" s="124" t="s">
        <v>353</v>
      </c>
      <c r="G43" s="33" t="s">
        <v>261</v>
      </c>
      <c r="H43" s="127" t="s">
        <v>262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H$43"/>
  <mergeCells count="2">
    <mergeCell ref="A1:H1"/>
    <mergeCell ref="A2:H2"/>
  </mergeCell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B5E2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12.0"/>
    <col customWidth="1" min="3" max="3" width="38.0"/>
    <col customWidth="1" min="4" max="4" width="16.0"/>
    <col customWidth="1" min="5" max="5" width="10.0"/>
    <col customWidth="1" min="6" max="6" width="14.0"/>
    <col customWidth="1" min="7" max="7" width="20.0"/>
    <col customWidth="1" min="8" max="26" width="8.71"/>
  </cols>
  <sheetData>
    <row r="1" ht="27.75" customHeight="1">
      <c r="A1" s="133" t="s">
        <v>354</v>
      </c>
      <c r="B1" s="2"/>
      <c r="C1" s="2"/>
      <c r="D1" s="2"/>
      <c r="E1" s="2"/>
      <c r="F1" s="2"/>
      <c r="G1" s="3"/>
    </row>
    <row r="2" ht="15.75" customHeight="1">
      <c r="A2" s="134" t="s">
        <v>355</v>
      </c>
      <c r="B2" s="2"/>
      <c r="C2" s="2"/>
      <c r="D2" s="2"/>
      <c r="E2" s="2"/>
      <c r="F2" s="2"/>
      <c r="G2" s="3"/>
    </row>
    <row r="3" ht="21.75" customHeight="1">
      <c r="A3" s="135" t="s">
        <v>192</v>
      </c>
      <c r="B3" s="135" t="s">
        <v>209</v>
      </c>
      <c r="C3" s="135" t="s">
        <v>210</v>
      </c>
      <c r="D3" s="135" t="s">
        <v>212</v>
      </c>
      <c r="E3" s="135" t="s">
        <v>213</v>
      </c>
      <c r="F3" s="135" t="s">
        <v>214</v>
      </c>
      <c r="G3" s="135" t="s">
        <v>41</v>
      </c>
    </row>
    <row r="4" ht="18.75" customHeight="1">
      <c r="A4" s="136">
        <v>1.0</v>
      </c>
      <c r="B4" s="136">
        <v>1.0</v>
      </c>
      <c r="C4" s="137" t="s">
        <v>25</v>
      </c>
      <c r="D4" s="136" t="s">
        <v>217</v>
      </c>
      <c r="E4" s="136" t="s">
        <v>218</v>
      </c>
      <c r="F4" s="136" t="s">
        <v>219</v>
      </c>
      <c r="G4" s="138" t="s">
        <v>356</v>
      </c>
    </row>
    <row r="5" ht="18.75" customHeight="1">
      <c r="A5" s="25">
        <v>2.0</v>
      </c>
      <c r="B5" s="25">
        <v>2.0</v>
      </c>
      <c r="C5" s="139" t="s">
        <v>222</v>
      </c>
      <c r="D5" s="25" t="s">
        <v>223</v>
      </c>
      <c r="E5" s="25" t="s">
        <v>218</v>
      </c>
      <c r="F5" s="25" t="s">
        <v>224</v>
      </c>
      <c r="G5" s="140" t="s">
        <v>356</v>
      </c>
    </row>
    <row r="6" ht="18.75" customHeight="1">
      <c r="A6" s="136">
        <v>3.0</v>
      </c>
      <c r="B6" s="136">
        <v>3.0</v>
      </c>
      <c r="C6" s="137" t="s">
        <v>225</v>
      </c>
      <c r="D6" s="136" t="s">
        <v>226</v>
      </c>
      <c r="E6" s="136" t="s">
        <v>227</v>
      </c>
      <c r="F6" s="136" t="s">
        <v>228</v>
      </c>
      <c r="G6" s="138" t="s">
        <v>356</v>
      </c>
    </row>
    <row r="7" ht="18.75" customHeight="1">
      <c r="A7" s="25">
        <v>4.0</v>
      </c>
      <c r="B7" s="25">
        <v>4.0</v>
      </c>
      <c r="C7" s="139" t="s">
        <v>229</v>
      </c>
      <c r="D7" s="25" t="s">
        <v>230</v>
      </c>
      <c r="E7" s="25" t="s">
        <v>218</v>
      </c>
      <c r="F7" s="25" t="s">
        <v>231</v>
      </c>
      <c r="G7" s="140" t="s">
        <v>356</v>
      </c>
    </row>
    <row r="8" ht="18.75" customHeight="1">
      <c r="A8" s="136">
        <v>5.0</v>
      </c>
      <c r="B8" s="136">
        <v>5.0</v>
      </c>
      <c r="C8" s="137" t="s">
        <v>232</v>
      </c>
      <c r="D8" s="136" t="s">
        <v>233</v>
      </c>
      <c r="E8" s="136" t="s">
        <v>218</v>
      </c>
      <c r="F8" s="136" t="s">
        <v>234</v>
      </c>
      <c r="G8" s="138" t="s">
        <v>356</v>
      </c>
    </row>
    <row r="9" ht="18.75" customHeight="1">
      <c r="A9" s="25">
        <v>6.0</v>
      </c>
      <c r="B9" s="25">
        <v>6.0</v>
      </c>
      <c r="C9" s="139" t="s">
        <v>235</v>
      </c>
      <c r="D9" s="25" t="s">
        <v>236</v>
      </c>
      <c r="E9" s="25" t="s">
        <v>227</v>
      </c>
      <c r="F9" s="25" t="s">
        <v>237</v>
      </c>
      <c r="G9" s="140" t="s">
        <v>356</v>
      </c>
    </row>
    <row r="10" ht="18.75" customHeight="1">
      <c r="A10" s="136">
        <v>7.0</v>
      </c>
      <c r="B10" s="136">
        <v>7.0</v>
      </c>
      <c r="C10" s="137" t="s">
        <v>238</v>
      </c>
      <c r="D10" s="136" t="s">
        <v>239</v>
      </c>
      <c r="E10" s="136" t="s">
        <v>218</v>
      </c>
      <c r="F10" s="136" t="s">
        <v>240</v>
      </c>
      <c r="G10" s="138" t="s">
        <v>356</v>
      </c>
    </row>
    <row r="11" ht="18.75" customHeight="1">
      <c r="A11" s="25">
        <v>8.0</v>
      </c>
      <c r="B11" s="25">
        <v>8.0</v>
      </c>
      <c r="C11" s="139" t="s">
        <v>241</v>
      </c>
      <c r="D11" s="25" t="s">
        <v>242</v>
      </c>
      <c r="E11" s="25" t="s">
        <v>218</v>
      </c>
      <c r="F11" s="25" t="s">
        <v>243</v>
      </c>
      <c r="G11" s="140" t="s">
        <v>356</v>
      </c>
    </row>
    <row r="12" ht="18.75" customHeight="1">
      <c r="A12" s="136">
        <v>9.0</v>
      </c>
      <c r="B12" s="136">
        <v>9.0</v>
      </c>
      <c r="C12" s="137" t="s">
        <v>244</v>
      </c>
      <c r="D12" s="136" t="s">
        <v>245</v>
      </c>
      <c r="E12" s="136" t="s">
        <v>218</v>
      </c>
      <c r="F12" s="136" t="s">
        <v>246</v>
      </c>
      <c r="G12" s="138" t="s">
        <v>356</v>
      </c>
    </row>
    <row r="13" ht="18.75" customHeight="1">
      <c r="A13" s="25">
        <v>10.0</v>
      </c>
      <c r="B13" s="25">
        <v>10.0</v>
      </c>
      <c r="C13" s="139" t="s">
        <v>247</v>
      </c>
      <c r="D13" s="25" t="s">
        <v>248</v>
      </c>
      <c r="E13" s="25" t="s">
        <v>218</v>
      </c>
      <c r="F13" s="25" t="s">
        <v>249</v>
      </c>
      <c r="G13" s="140" t="s">
        <v>356</v>
      </c>
    </row>
    <row r="14" ht="18.75" customHeight="1">
      <c r="A14" s="136">
        <v>11.0</v>
      </c>
      <c r="B14" s="136">
        <v>11.0</v>
      </c>
      <c r="C14" s="137" t="s">
        <v>250</v>
      </c>
      <c r="D14" s="136" t="s">
        <v>251</v>
      </c>
      <c r="E14" s="136" t="s">
        <v>227</v>
      </c>
      <c r="F14" s="136" t="s">
        <v>252</v>
      </c>
      <c r="G14" s="138" t="s">
        <v>356</v>
      </c>
    </row>
    <row r="15" ht="18.75" customHeight="1">
      <c r="A15" s="25">
        <v>12.0</v>
      </c>
      <c r="B15" s="25">
        <v>12.0</v>
      </c>
      <c r="C15" s="139" t="s">
        <v>253</v>
      </c>
      <c r="D15" s="25" t="s">
        <v>254</v>
      </c>
      <c r="E15" s="25" t="s">
        <v>218</v>
      </c>
      <c r="F15" s="25" t="s">
        <v>255</v>
      </c>
      <c r="G15" s="140" t="s">
        <v>356</v>
      </c>
    </row>
    <row r="16" ht="18.75" customHeight="1">
      <c r="A16" s="136">
        <v>13.0</v>
      </c>
      <c r="B16" s="136">
        <v>15.0</v>
      </c>
      <c r="C16" s="137" t="s">
        <v>263</v>
      </c>
      <c r="D16" s="136" t="s">
        <v>264</v>
      </c>
      <c r="E16" s="136" t="s">
        <v>218</v>
      </c>
      <c r="F16" s="136" t="s">
        <v>265</v>
      </c>
      <c r="G16" s="138" t="s">
        <v>356</v>
      </c>
    </row>
    <row r="17" ht="18.75" customHeight="1">
      <c r="A17" s="25">
        <v>14.0</v>
      </c>
      <c r="B17" s="25">
        <v>16.0</v>
      </c>
      <c r="C17" s="139" t="s">
        <v>266</v>
      </c>
      <c r="D17" s="25" t="s">
        <v>267</v>
      </c>
      <c r="E17" s="25" t="s">
        <v>218</v>
      </c>
      <c r="F17" s="25" t="s">
        <v>268</v>
      </c>
      <c r="G17" s="140" t="s">
        <v>356</v>
      </c>
    </row>
    <row r="18" ht="18.75" customHeight="1">
      <c r="A18" s="136">
        <v>15.0</v>
      </c>
      <c r="B18" s="136">
        <v>27.0</v>
      </c>
      <c r="C18" s="137" t="s">
        <v>302</v>
      </c>
      <c r="D18" s="136" t="s">
        <v>303</v>
      </c>
      <c r="E18" s="136" t="s">
        <v>227</v>
      </c>
      <c r="F18" s="136" t="s">
        <v>304</v>
      </c>
      <c r="G18" s="138" t="s">
        <v>356</v>
      </c>
    </row>
    <row r="19" ht="18.75" customHeight="1">
      <c r="A19" s="25">
        <v>16.0</v>
      </c>
      <c r="B19" s="25">
        <v>29.0</v>
      </c>
      <c r="C19" s="139" t="s">
        <v>308</v>
      </c>
      <c r="D19" s="25" t="s">
        <v>309</v>
      </c>
      <c r="E19" s="25" t="s">
        <v>310</v>
      </c>
      <c r="F19" s="25" t="s">
        <v>311</v>
      </c>
      <c r="G19" s="140" t="s">
        <v>356</v>
      </c>
    </row>
    <row r="20" ht="18.75" customHeight="1">
      <c r="A20" s="136">
        <v>17.0</v>
      </c>
      <c r="B20" s="136">
        <v>33.0</v>
      </c>
      <c r="C20" s="137" t="s">
        <v>318</v>
      </c>
      <c r="D20" s="136" t="s">
        <v>319</v>
      </c>
      <c r="E20" s="136" t="s">
        <v>227</v>
      </c>
      <c r="F20" s="136" t="s">
        <v>320</v>
      </c>
      <c r="G20" s="138" t="s">
        <v>356</v>
      </c>
    </row>
    <row r="21" ht="18.75" customHeight="1">
      <c r="A21" s="25">
        <v>18.0</v>
      </c>
      <c r="B21" s="25">
        <v>36.0</v>
      </c>
      <c r="C21" s="139" t="s">
        <v>328</v>
      </c>
      <c r="D21" s="25" t="s">
        <v>329</v>
      </c>
      <c r="E21" s="25" t="s">
        <v>227</v>
      </c>
      <c r="F21" s="25" t="s">
        <v>330</v>
      </c>
      <c r="G21" s="140" t="s">
        <v>356</v>
      </c>
    </row>
    <row r="22" ht="18.75" customHeight="1">
      <c r="A22" s="136">
        <v>19.0</v>
      </c>
      <c r="B22" s="136">
        <v>153.0</v>
      </c>
      <c r="C22" s="137" t="s">
        <v>342</v>
      </c>
      <c r="D22" s="136" t="s">
        <v>343</v>
      </c>
      <c r="E22" s="136" t="s">
        <v>344</v>
      </c>
      <c r="F22" s="136" t="s">
        <v>345</v>
      </c>
      <c r="G22" s="138" t="s">
        <v>356</v>
      </c>
    </row>
    <row r="23" ht="18.75" customHeight="1">
      <c r="A23" s="25">
        <v>20.0</v>
      </c>
      <c r="B23" s="25">
        <v>41.0</v>
      </c>
      <c r="C23" s="139" t="s">
        <v>346</v>
      </c>
      <c r="D23" s="25" t="s">
        <v>347</v>
      </c>
      <c r="E23" s="25" t="s">
        <v>348</v>
      </c>
      <c r="F23" s="25" t="s">
        <v>349</v>
      </c>
      <c r="G23" s="140" t="s">
        <v>356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2:G2"/>
  </mergeCells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1C1C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12.0"/>
    <col customWidth="1" min="3" max="3" width="38.0"/>
    <col customWidth="1" min="4" max="4" width="16.0"/>
    <col customWidth="1" min="5" max="5" width="10.0"/>
    <col customWidth="1" min="6" max="6" width="14.0"/>
    <col customWidth="1" min="7" max="7" width="22.0"/>
    <col customWidth="1" min="8" max="26" width="8.71"/>
  </cols>
  <sheetData>
    <row r="1" ht="27.75" customHeight="1">
      <c r="A1" s="141" t="s">
        <v>357</v>
      </c>
      <c r="B1" s="2"/>
      <c r="C1" s="2"/>
      <c r="D1" s="2"/>
      <c r="E1" s="2"/>
      <c r="F1" s="2"/>
      <c r="G1" s="3"/>
    </row>
    <row r="2" ht="15.75" customHeight="1">
      <c r="A2" s="142" t="s">
        <v>358</v>
      </c>
      <c r="B2" s="2"/>
      <c r="C2" s="2"/>
      <c r="D2" s="2"/>
      <c r="E2" s="2"/>
      <c r="F2" s="2"/>
      <c r="G2" s="3"/>
    </row>
    <row r="3" ht="21.75" customHeight="1">
      <c r="A3" s="143" t="s">
        <v>192</v>
      </c>
      <c r="B3" s="143" t="s">
        <v>209</v>
      </c>
      <c r="C3" s="143" t="s">
        <v>210</v>
      </c>
      <c r="D3" s="143" t="s">
        <v>212</v>
      </c>
      <c r="E3" s="143" t="s">
        <v>213</v>
      </c>
      <c r="F3" s="143" t="s">
        <v>214</v>
      </c>
      <c r="G3" s="143" t="s">
        <v>359</v>
      </c>
    </row>
    <row r="4" ht="18.75" customHeight="1">
      <c r="A4" s="144">
        <v>1.0</v>
      </c>
      <c r="B4" s="144">
        <v>13.0</v>
      </c>
      <c r="C4" s="145" t="s">
        <v>256</v>
      </c>
      <c r="D4" s="144" t="s">
        <v>258</v>
      </c>
      <c r="E4" s="144" t="s">
        <v>259</v>
      </c>
      <c r="F4" s="144" t="s">
        <v>260</v>
      </c>
      <c r="G4" s="146" t="s">
        <v>360</v>
      </c>
    </row>
    <row r="5" ht="18.75" customHeight="1">
      <c r="A5" s="25">
        <v>2.0</v>
      </c>
      <c r="B5" s="25">
        <v>17.0</v>
      </c>
      <c r="C5" s="147" t="s">
        <v>30</v>
      </c>
      <c r="D5" s="25" t="s">
        <v>269</v>
      </c>
      <c r="E5" s="25" t="s">
        <v>218</v>
      </c>
      <c r="F5" s="25" t="s">
        <v>270</v>
      </c>
      <c r="G5" s="24" t="s">
        <v>360</v>
      </c>
    </row>
    <row r="6" ht="18.75" customHeight="1">
      <c r="A6" s="144">
        <v>3.0</v>
      </c>
      <c r="B6" s="144">
        <v>18.0</v>
      </c>
      <c r="C6" s="145" t="s">
        <v>32</v>
      </c>
      <c r="D6" s="144" t="s">
        <v>272</v>
      </c>
      <c r="E6" s="144" t="s">
        <v>218</v>
      </c>
      <c r="F6" s="144" t="s">
        <v>273</v>
      </c>
      <c r="G6" s="146" t="s">
        <v>360</v>
      </c>
    </row>
    <row r="7" ht="18.75" customHeight="1">
      <c r="A7" s="25">
        <v>4.0</v>
      </c>
      <c r="B7" s="25">
        <v>19.0</v>
      </c>
      <c r="C7" s="147" t="s">
        <v>34</v>
      </c>
      <c r="D7" s="25" t="s">
        <v>275</v>
      </c>
      <c r="E7" s="25" t="s">
        <v>218</v>
      </c>
      <c r="F7" s="25" t="s">
        <v>276</v>
      </c>
      <c r="G7" s="24" t="s">
        <v>360</v>
      </c>
    </row>
    <row r="8" ht="18.75" customHeight="1">
      <c r="A8" s="144">
        <v>5.0</v>
      </c>
      <c r="B8" s="144">
        <v>37.0</v>
      </c>
      <c r="C8" s="145" t="s">
        <v>277</v>
      </c>
      <c r="D8" s="144" t="s">
        <v>278</v>
      </c>
      <c r="E8" s="144" t="s">
        <v>227</v>
      </c>
      <c r="F8" s="144" t="s">
        <v>279</v>
      </c>
      <c r="G8" s="146" t="s">
        <v>360</v>
      </c>
    </row>
    <row r="9" ht="18.75" customHeight="1">
      <c r="A9" s="25">
        <v>6.0</v>
      </c>
      <c r="B9" s="25">
        <v>22.0</v>
      </c>
      <c r="C9" s="147" t="s">
        <v>286</v>
      </c>
      <c r="D9" s="25" t="s">
        <v>287</v>
      </c>
      <c r="E9" s="25" t="s">
        <v>218</v>
      </c>
      <c r="F9" s="25" t="s">
        <v>288</v>
      </c>
      <c r="G9" s="24" t="s">
        <v>360</v>
      </c>
    </row>
    <row r="10" ht="18.75" customHeight="1">
      <c r="A10" s="144">
        <v>7.0</v>
      </c>
      <c r="B10" s="144">
        <v>26.0</v>
      </c>
      <c r="C10" s="145" t="s">
        <v>36</v>
      </c>
      <c r="D10" s="144" t="s">
        <v>300</v>
      </c>
      <c r="E10" s="144" t="s">
        <v>218</v>
      </c>
      <c r="F10" s="144" t="s">
        <v>301</v>
      </c>
      <c r="G10" s="146" t="s">
        <v>360</v>
      </c>
    </row>
    <row r="11" ht="18.75" customHeight="1">
      <c r="A11" s="25">
        <v>8.0</v>
      </c>
      <c r="B11" s="25">
        <v>31.0</v>
      </c>
      <c r="C11" s="147" t="s">
        <v>312</v>
      </c>
      <c r="D11" s="25" t="s">
        <v>313</v>
      </c>
      <c r="E11" s="25" t="s">
        <v>227</v>
      </c>
      <c r="F11" s="25" t="s">
        <v>314</v>
      </c>
      <c r="G11" s="24" t="s">
        <v>360</v>
      </c>
    </row>
    <row r="12" ht="18.75" customHeight="1">
      <c r="A12" s="144">
        <v>9.0</v>
      </c>
      <c r="B12" s="144">
        <v>32.0</v>
      </c>
      <c r="C12" s="145" t="s">
        <v>315</v>
      </c>
      <c r="D12" s="144" t="s">
        <v>316</v>
      </c>
      <c r="E12" s="144" t="s">
        <v>227</v>
      </c>
      <c r="F12" s="144" t="s">
        <v>317</v>
      </c>
      <c r="G12" s="146" t="s">
        <v>360</v>
      </c>
    </row>
    <row r="13" ht="18.75" customHeight="1">
      <c r="A13" s="25">
        <v>10.0</v>
      </c>
      <c r="B13" s="25">
        <v>34.0</v>
      </c>
      <c r="C13" s="147" t="s">
        <v>321</v>
      </c>
      <c r="D13" s="25" t="s">
        <v>322</v>
      </c>
      <c r="E13" s="25" t="s">
        <v>227</v>
      </c>
      <c r="F13" s="25" t="s">
        <v>323</v>
      </c>
      <c r="G13" s="24" t="s">
        <v>360</v>
      </c>
    </row>
    <row r="14" ht="18.75" customHeight="1">
      <c r="A14" s="144">
        <v>11.0</v>
      </c>
      <c r="B14" s="144">
        <v>35.0</v>
      </c>
      <c r="C14" s="145" t="s">
        <v>324</v>
      </c>
      <c r="D14" s="144" t="s">
        <v>325</v>
      </c>
      <c r="E14" s="144" t="s">
        <v>326</v>
      </c>
      <c r="F14" s="144" t="s">
        <v>327</v>
      </c>
      <c r="G14" s="146" t="s">
        <v>360</v>
      </c>
    </row>
    <row r="15" ht="18.75" customHeight="1">
      <c r="A15" s="25">
        <v>12.0</v>
      </c>
      <c r="B15" s="25">
        <v>38.0</v>
      </c>
      <c r="C15" s="147" t="s">
        <v>331</v>
      </c>
      <c r="D15" s="25" t="s">
        <v>332</v>
      </c>
      <c r="E15" s="25" t="s">
        <v>227</v>
      </c>
      <c r="F15" s="25" t="s">
        <v>333</v>
      </c>
      <c r="G15" s="24" t="s">
        <v>360</v>
      </c>
    </row>
    <row r="16" ht="18.75" customHeight="1">
      <c r="A16" s="144">
        <v>13.0</v>
      </c>
      <c r="B16" s="144">
        <v>39.0</v>
      </c>
      <c r="C16" s="145" t="s">
        <v>334</v>
      </c>
      <c r="D16" s="144" t="s">
        <v>335</v>
      </c>
      <c r="E16" s="144" t="s">
        <v>336</v>
      </c>
      <c r="F16" s="144" t="s">
        <v>337</v>
      </c>
      <c r="G16" s="146" t="s">
        <v>360</v>
      </c>
    </row>
    <row r="17" ht="18.75" customHeight="1">
      <c r="A17" s="25">
        <v>14.0</v>
      </c>
      <c r="B17" s="25">
        <v>40.0</v>
      </c>
      <c r="C17" s="147" t="s">
        <v>338</v>
      </c>
      <c r="D17" s="25" t="s">
        <v>339</v>
      </c>
      <c r="E17" s="25" t="s">
        <v>340</v>
      </c>
      <c r="F17" s="25" t="s">
        <v>341</v>
      </c>
      <c r="G17" s="24" t="s">
        <v>360</v>
      </c>
    </row>
    <row r="18" ht="18.75" customHeight="1">
      <c r="A18" s="144">
        <v>15.0</v>
      </c>
      <c r="B18" s="144">
        <v>42.0</v>
      </c>
      <c r="C18" s="145" t="s">
        <v>350</v>
      </c>
      <c r="D18" s="144" t="s">
        <v>351</v>
      </c>
      <c r="E18" s="144" t="s">
        <v>352</v>
      </c>
      <c r="F18" s="144" t="s">
        <v>353</v>
      </c>
      <c r="G18" s="146" t="s">
        <v>360</v>
      </c>
    </row>
    <row r="19" ht="15.0" customHeight="1">
      <c r="A19" s="148" t="s">
        <v>361</v>
      </c>
      <c r="B19" s="7"/>
      <c r="C19" s="149" t="str">
        <f>COUNTIF(G4:G18,"Replaced")&amp;" of 15 Replaced"</f>
        <v>0 of 15 Replaced</v>
      </c>
      <c r="D19" s="6"/>
      <c r="E19" s="6"/>
      <c r="F19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G1"/>
    <mergeCell ref="A2:G2"/>
    <mergeCell ref="A19:B19"/>
    <mergeCell ref="C19:F19"/>
  </mergeCells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510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12.0"/>
    <col customWidth="1" min="3" max="3" width="38.0"/>
    <col customWidth="1" min="4" max="4" width="16.0"/>
    <col customWidth="1" min="5" max="5" width="8.71"/>
    <col customWidth="1" min="6" max="6" width="10.0"/>
    <col customWidth="1" min="7" max="7" width="14.0"/>
    <col customWidth="1" min="8" max="26" width="8.71"/>
  </cols>
  <sheetData>
    <row r="1" ht="27.75" customHeight="1">
      <c r="A1" s="150" t="s">
        <v>362</v>
      </c>
      <c r="B1" s="2"/>
      <c r="C1" s="2"/>
      <c r="D1" s="2"/>
      <c r="E1" s="2"/>
      <c r="F1" s="2"/>
      <c r="G1" s="3"/>
    </row>
    <row r="2" ht="15.75" customHeight="1">
      <c r="A2" s="151" t="s">
        <v>363</v>
      </c>
      <c r="B2" s="2"/>
      <c r="C2" s="2"/>
      <c r="D2" s="2"/>
      <c r="E2" s="2"/>
      <c r="F2" s="2"/>
      <c r="G2" s="3"/>
    </row>
    <row r="3" ht="21.75" customHeight="1">
      <c r="A3" s="152" t="s">
        <v>192</v>
      </c>
      <c r="B3" s="152" t="s">
        <v>209</v>
      </c>
      <c r="C3" s="152" t="s">
        <v>210</v>
      </c>
      <c r="D3" s="152" t="s">
        <v>211</v>
      </c>
      <c r="E3" s="152" t="s">
        <v>212</v>
      </c>
      <c r="F3" s="152" t="s">
        <v>213</v>
      </c>
      <c r="G3" s="152" t="s">
        <v>214</v>
      </c>
    </row>
    <row r="4" ht="18.75" customHeight="1">
      <c r="A4" s="129">
        <v>1.0</v>
      </c>
      <c r="B4" s="129">
        <v>21.0</v>
      </c>
      <c r="C4" s="36" t="s">
        <v>280</v>
      </c>
      <c r="D4" s="131" t="s">
        <v>281</v>
      </c>
      <c r="E4" s="129" t="s">
        <v>282</v>
      </c>
      <c r="F4" s="129" t="s">
        <v>218</v>
      </c>
      <c r="G4" s="129" t="s">
        <v>283</v>
      </c>
    </row>
    <row r="5" ht="18.75" customHeight="1">
      <c r="A5" s="25">
        <v>2.0</v>
      </c>
      <c r="B5" s="25">
        <v>23.0</v>
      </c>
      <c r="C5" s="153" t="s">
        <v>289</v>
      </c>
      <c r="D5" s="154" t="s">
        <v>281</v>
      </c>
      <c r="E5" s="25" t="s">
        <v>290</v>
      </c>
      <c r="F5" s="25" t="s">
        <v>218</v>
      </c>
      <c r="G5" s="25" t="s">
        <v>291</v>
      </c>
    </row>
    <row r="6" ht="18.75" customHeight="1">
      <c r="A6" s="129">
        <v>3.0</v>
      </c>
      <c r="B6" s="129">
        <v>24.0</v>
      </c>
      <c r="C6" s="36" t="s">
        <v>292</v>
      </c>
      <c r="D6" s="131" t="s">
        <v>281</v>
      </c>
      <c r="E6" s="129" t="s">
        <v>293</v>
      </c>
      <c r="F6" s="129" t="s">
        <v>218</v>
      </c>
      <c r="G6" s="129" t="s">
        <v>294</v>
      </c>
    </row>
    <row r="7" ht="18.75" customHeight="1">
      <c r="A7" s="25">
        <v>4.0</v>
      </c>
      <c r="B7" s="25">
        <v>30.0</v>
      </c>
      <c r="C7" s="153" t="s">
        <v>295</v>
      </c>
      <c r="D7" s="154" t="s">
        <v>296</v>
      </c>
      <c r="E7" s="25" t="s">
        <v>297</v>
      </c>
      <c r="F7" s="25" t="s">
        <v>227</v>
      </c>
      <c r="G7" s="25" t="s">
        <v>298</v>
      </c>
    </row>
    <row r="8" ht="18.75" customHeight="1">
      <c r="A8" s="129">
        <v>5.0</v>
      </c>
      <c r="B8" s="129">
        <v>28.0</v>
      </c>
      <c r="C8" s="36" t="s">
        <v>305</v>
      </c>
      <c r="D8" s="131" t="s">
        <v>281</v>
      </c>
      <c r="E8" s="129" t="s">
        <v>306</v>
      </c>
      <c r="F8" s="129" t="s">
        <v>227</v>
      </c>
      <c r="G8" s="129" t="s">
        <v>307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2:G2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2026-03-11T20:21:19Z</dcterms:created>
  <dc:creator>openpyxl</dc:creator>
</cp:coreProperties>
</file>